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Verificación" sheetId="2" state="visible" r:id="rId4"/>
    <sheet name="Defectos nuevos" sheetId="3" state="visible" r:id="rId5"/>
    <sheet name="Resumen" sheetId="4" state="visible" r:id="rId6"/>
  </sheets>
  <definedNames>
    <definedName function="false" hidden="true" localSheetId="1" name="_xlnm._FilterDatabase" vbProcedure="false">Verificación!$A$1:$L$84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<sst xmlns="http://schemas.openxmlformats.org/spreadsheetml/2006/main" count="1041" uniqueCount="362">
  <si>
    <t xml:space="preserve">⚠ ARCHIVO DE PRUEBA CON DATOS FICTICIOS. NO USAR COMO RESULTADO REAL.</t>
  </si>
  <si>
    <t xml:space="preserve">Verificación manual de la prerrevisión con IA – Booksy UCAB (PACS 7.2)</t>
  </si>
  <si>
    <t xml:space="preserve">Las celdas amarillas son las que se llenan. Elige el valor con la flecha de la celda; no hace falta escribirlo.</t>
  </si>
  <si>
    <t xml:space="preserve">Hoja «Verificación»: los 83 hallazgos de la IA</t>
  </si>
  <si>
    <t xml:space="preserve">• Columna «resultado»: confirmado (es un defecto real) · falso_positivo (no es defecto) · pendiente (sin revisar).</t>
  </si>
  <si>
    <t xml:space="preserve">• «revisor» y «comentario» son opcionales; el comentario conviene en los falsos positivos.</t>
  </si>
  <si>
    <t xml:space="preserve">• Las filas grises (No, duplicado) no cuentan en el cálculo: basta con revisar su original.</t>
  </si>
  <si>
    <t xml:space="preserve">Hoja «Defectos nuevos»: lo que el equipo encontró y la IA no (falsos negativos)</t>
  </si>
  <si>
    <t xml:space="preserve">• Obligatorio: «artefacto». Recomendado: «criterio», «severidad» y «evidencia». El resto es opcional.</t>
  </si>
  <si>
    <t xml:space="preserve">• Las filas sin artefacto se ignoran.</t>
  </si>
  <si>
    <t xml:space="preserve">Hoja «Resumen»: se calcula sola mientras llenan (precisión y EDD de la IA).</t>
  </si>
  <si>
    <t xml:space="preserve">Al terminar: guardar como .xlsx en la carpeta datos/ del repo y ejecutar  python3 metricas_sqa.py</t>
  </si>
  <si>
    <t xml:space="preserve">Ejemplo de una fila de «Defectos nuevos» (solo de muestra, no se cuenta):</t>
  </si>
  <si>
    <t xml:space="preserve">id</t>
  </si>
  <si>
    <t xml:space="preserve">artefacto</t>
  </si>
  <si>
    <t xml:space="preserve">lista</t>
  </si>
  <si>
    <t xml:space="preserve">item</t>
  </si>
  <si>
    <t xml:space="preserve">criterio</t>
  </si>
  <si>
    <t xml:space="preserve">severidad</t>
  </si>
  <si>
    <t xml:space="preserve">secciones</t>
  </si>
  <si>
    <t xml:space="preserve">unidades</t>
  </si>
  <si>
    <t xml:space="preserve">evidencia</t>
  </si>
  <si>
    <t xml:space="preserve">revisor</t>
  </si>
  <si>
    <t xml:space="preserve">M-01</t>
  </si>
  <si>
    <t xml:space="preserve">ERS</t>
  </si>
  <si>
    <t xml:space="preserve">1</t>
  </si>
  <si>
    <t xml:space="preserve">HU-12</t>
  </si>
  <si>
    <t xml:space="preserve">Completitud</t>
  </si>
  <si>
    <t xml:space="preserve">Mayor</t>
  </si>
  <si>
    <t xml:space="preserve">ERS-HU3</t>
  </si>
  <si>
    <t xml:space="preserve">HU3</t>
  </si>
  <si>
    <t xml:space="preserve">La HU3 no contempla qué pasa si se pierde la conexión</t>
  </si>
  <si>
    <t xml:space="preserve">Antonio</t>
  </si>
  <si>
    <t xml:space="preserve">cuenta_en_metricas</t>
  </si>
  <si>
    <t xml:space="preserve">duplicado_de</t>
  </si>
  <si>
    <t xml:space="preserve">resultado</t>
  </si>
  <si>
    <t xml:space="preserve">comentario</t>
  </si>
  <si>
    <t xml:space="preserve">L1-HU02-HU2</t>
  </si>
  <si>
    <t xml:space="preserve">Sí</t>
  </si>
  <si>
    <t xml:space="preserve">HU-02</t>
  </si>
  <si>
    <t xml:space="preserve">Coherente</t>
  </si>
  <si>
    <t xml:space="preserve">Menor</t>
  </si>
  <si>
    <t xml:space="preserve">Nombre de épica distinto al Brief («Libro»)</t>
  </si>
  <si>
    <t xml:space="preserve">falso_positivo</t>
  </si>
  <si>
    <t xml:space="preserve">(PRUEBA)</t>
  </si>
  <si>
    <t xml:space="preserve">(PRUEBA) falso positivo ficticio</t>
  </si>
  <si>
    <t xml:space="preserve">L1-HU02-HU3</t>
  </si>
  <si>
    <t xml:space="preserve">L1-HU02-HU4</t>
  </si>
  <si>
    <t xml:space="preserve">L1-HU05-HU2</t>
  </si>
  <si>
    <t xml:space="preserve">HU-05</t>
  </si>
  <si>
    <t xml:space="preserve">Pertinencia</t>
  </si>
  <si>
    <t xml:space="preserve">Dependencia o criterio atado a la base de datos</t>
  </si>
  <si>
    <t xml:space="preserve">L1-HU05-HU4</t>
  </si>
  <si>
    <t xml:space="preserve">L1-HU06-HU1</t>
  </si>
  <si>
    <t xml:space="preserve">HU-06</t>
  </si>
  <si>
    <t xml:space="preserve">Correcto</t>
  </si>
  <si>
    <t xml:space="preserve">Términos vagos (amigable, clara, intuitiva, totalidad)</t>
  </si>
  <si>
    <t xml:space="preserve">pendiente</t>
  </si>
  <si>
    <t xml:space="preserve">L1-HU06-HU2</t>
  </si>
  <si>
    <t xml:space="preserve">L1-HU06-HU3</t>
  </si>
  <si>
    <t xml:space="preserve">L1-HU06-HU4</t>
  </si>
  <si>
    <t xml:space="preserve">L1-HU08-HU2</t>
  </si>
  <si>
    <t xml:space="preserve">HU-08</t>
  </si>
  <si>
    <t xml:space="preserve">Sin restricciones declaradas</t>
  </si>
  <si>
    <t xml:space="preserve">confirmado</t>
  </si>
  <si>
    <t xml:space="preserve">L1-HU09-HU2</t>
  </si>
  <si>
    <t xml:space="preserve">HU-09</t>
  </si>
  <si>
    <t xml:space="preserve">«Datos coherentes» y «mismo libro» sin definir</t>
  </si>
  <si>
    <t xml:space="preserve">L1-HU09-HU4</t>
  </si>
  <si>
    <t xml:space="preserve">«Verificado como comprador» sin proceso</t>
  </si>
  <si>
    <t xml:space="preserve">L1-HU11-HU1</t>
  </si>
  <si>
    <t xml:space="preserve">HU-11</t>
  </si>
  <si>
    <t xml:space="preserve">Criterio de interfaz no medible</t>
  </si>
  <si>
    <t xml:space="preserve">L1-HU11-HU2</t>
  </si>
  <si>
    <t xml:space="preserve">L1-HU11-HU3</t>
  </si>
  <si>
    <t xml:space="preserve">L1-HU11-HU4</t>
  </si>
  <si>
    <t xml:space="preserve">L1-HU12-HU1</t>
  </si>
  <si>
    <t xml:space="preserve">No cubre falla de conexión o servidor</t>
  </si>
  <si>
    <t xml:space="preserve">L1-HU12-HU2</t>
  </si>
  <si>
    <t xml:space="preserve">L1-HU12-HU4</t>
  </si>
  <si>
    <t xml:space="preserve">L1-HU13-HU2</t>
  </si>
  <si>
    <t xml:space="preserve">HU-13</t>
  </si>
  <si>
    <t xml:space="preserve">10 minutos frente a 3 s de 2.1.1</t>
  </si>
  <si>
    <t xml:space="preserve">L1-HU13-HU4</t>
  </si>
  <si>
    <t xml:space="preserve">2 s por carácter frente a 3 s de 2.1.1</t>
  </si>
  <si>
    <t xml:space="preserve">L1-HU15-HU1</t>
  </si>
  <si>
    <t xml:space="preserve">HU-15</t>
  </si>
  <si>
    <t xml:space="preserve">Sin prioridad ni release</t>
  </si>
  <si>
    <t xml:space="preserve">L1-HU15-HU2</t>
  </si>
  <si>
    <t xml:space="preserve">L1-HU15-HU3</t>
  </si>
  <si>
    <t xml:space="preserve">L1-HU15-HU4</t>
  </si>
  <si>
    <t xml:space="preserve">L1-HU17-HU4</t>
  </si>
  <si>
    <t xml:space="preserve">HU-17</t>
  </si>
  <si>
    <t xml:space="preserve">Sin responsable</t>
  </si>
  <si>
    <t xml:space="preserve">L2-HC02</t>
  </si>
  <si>
    <t xml:space="preserve">2</t>
  </si>
  <si>
    <t xml:space="preserve">HC-02</t>
  </si>
  <si>
    <t xml:space="preserve">HU3 es Release 2 en el Brief y está en el Sprint 1</t>
  </si>
  <si>
    <t xml:space="preserve">L2-HC03</t>
  </si>
  <si>
    <t xml:space="preserve">HC-03</t>
  </si>
  <si>
    <t xml:space="preserve">ERS 4 HU frente a 13 HU del DAS en el Sprint 1</t>
  </si>
  <si>
    <t xml:space="preserve">L2-HC04</t>
  </si>
  <si>
    <t xml:space="preserve">No (duplicado)</t>
  </si>
  <si>
    <t xml:space="preserve">HC-04</t>
  </si>
  <si>
    <t xml:space="preserve">L1-HU02-HU2, L1-HU02-HU3, L1-HU02-HU4</t>
  </si>
  <si>
    <t xml:space="preserve">Épica con tres nombres</t>
  </si>
  <si>
    <t xml:space="preserve">(PRUEBA) duplicado: no debe contar</t>
  </si>
  <si>
    <t xml:space="preserve">L2-HC07</t>
  </si>
  <si>
    <t xml:space="preserve">HC-07</t>
  </si>
  <si>
    <t xml:space="preserve">2.2.1 y 2.4.1 no reflejados en HU</t>
  </si>
  <si>
    <t xml:space="preserve">L2-HC09</t>
  </si>
  <si>
    <t xml:space="preserve">HC-09</t>
  </si>
  <si>
    <t xml:space="preserve">L1-HU15-HU1, L1-HU15-HU2, L1-HU15-HU3, L1-HU15-HU4</t>
  </si>
  <si>
    <t xml:space="preserve">Sin prioridad por release</t>
  </si>
  <si>
    <t xml:space="preserve">L2-HC10</t>
  </si>
  <si>
    <t xml:space="preserve">HC-10</t>
  </si>
  <si>
    <t xml:space="preserve">1.2 Sprint 2 en el índice, ausente en el cuerpo</t>
  </si>
  <si>
    <t xml:space="preserve">L3-RF01</t>
  </si>
  <si>
    <t xml:space="preserve">3</t>
  </si>
  <si>
    <t xml:space="preserve">RF-01</t>
  </si>
  <si>
    <t xml:space="preserve">Faltan 7 HU del Release 1</t>
  </si>
  <si>
    <t xml:space="preserve">L3-RF02</t>
  </si>
  <si>
    <t xml:space="preserve">RF-02</t>
  </si>
  <si>
    <t xml:space="preserve">L4-RN12, L4-RN13, L4-RN14, L4-RN15, L4-RN17</t>
  </si>
  <si>
    <t xml:space="preserve">Sin requisitos de Seguridad ni Fiabilidad</t>
  </si>
  <si>
    <t xml:space="preserve">L3-RF03</t>
  </si>
  <si>
    <t xml:space="preserve">RF-03</t>
  </si>
  <si>
    <t xml:space="preserve">Portada 1.0, histórico hasta 1.3</t>
  </si>
  <si>
    <t xml:space="preserve">L3-RF05</t>
  </si>
  <si>
    <t xml:space="preserve">RF-05</t>
  </si>
  <si>
    <t xml:space="preserve">Falta el rol visitante</t>
  </si>
  <si>
    <t xml:space="preserve">L3-RF06</t>
  </si>
  <si>
    <t xml:space="preserve">RF-06</t>
  </si>
  <si>
    <t xml:space="preserve">Sin flujos alternos ni postcondiciones</t>
  </si>
  <si>
    <t xml:space="preserve">L3-RF07</t>
  </si>
  <si>
    <t xml:space="preserve">RF-07</t>
  </si>
  <si>
    <t xml:space="preserve">Sin atributos del libro ni formato de correo y contraseña</t>
  </si>
  <si>
    <t xml:space="preserve">L3-RF08</t>
  </si>
  <si>
    <t xml:space="preserve">RF-08</t>
  </si>
  <si>
    <t xml:space="preserve">Alcance de HU1 y HU4 menor al del Brief</t>
  </si>
  <si>
    <t xml:space="preserve">L3-RF09</t>
  </si>
  <si>
    <t xml:space="preserve">RF-09</t>
  </si>
  <si>
    <t xml:space="preserve">L4-RN07, L4-RN08, L4-RN10</t>
  </si>
  <si>
    <t xml:space="preserve">Suplementarios no verificables</t>
  </si>
  <si>
    <t xml:space="preserve">L3-RF10</t>
  </si>
  <si>
    <t xml:space="preserve">RF-10</t>
  </si>
  <si>
    <t xml:space="preserve">L1-HU09-HU2, L1-HU06-HU4</t>
  </si>
  <si>
    <t xml:space="preserve">«Datos coherentes» y «totalidad… sin fallos»</t>
  </si>
  <si>
    <t xml:space="preserve">L3-RF11</t>
  </si>
  <si>
    <t xml:space="preserve">RF-11</t>
  </si>
  <si>
    <t xml:space="preserve">L1-HU06-HU1, L1-HU06-HU2, L1-HU06-HU3, L1-HU06-HU4</t>
  </si>
  <si>
    <t xml:space="preserve">Términos vagos</t>
  </si>
  <si>
    <t xml:space="preserve">L3-RF12</t>
  </si>
  <si>
    <t xml:space="preserve">RF-12</t>
  </si>
  <si>
    <t xml:space="preserve">L4-RN17, L4-RN09</t>
  </si>
  <si>
    <t xml:space="preserve">Sin seguridad ni criterio de navegación</t>
  </si>
  <si>
    <t xml:space="preserve">L3-RF13</t>
  </si>
  <si>
    <t xml:space="preserve">RF-13</t>
  </si>
  <si>
    <t xml:space="preserve">L2-HC02, L3-RF01</t>
  </si>
  <si>
    <t xml:space="preserve">HU3 de Release 2 y épicas no cubiertas</t>
  </si>
  <si>
    <t xml:space="preserve">L3-RF14</t>
  </si>
  <si>
    <t xml:space="preserve">RF-14</t>
  </si>
  <si>
    <t xml:space="preserve">L1-HU13-HU2, L1-HU13-HU4</t>
  </si>
  <si>
    <t xml:space="preserve">Tiempos incoherentes</t>
  </si>
  <si>
    <t xml:space="preserve">L4-RN02</t>
  </si>
  <si>
    <t xml:space="preserve">4</t>
  </si>
  <si>
    <t xml:space="preserve">RN-02</t>
  </si>
  <si>
    <t xml:space="preserve">Sin condiciones de medición</t>
  </si>
  <si>
    <t xml:space="preserve">L4-RN03</t>
  </si>
  <si>
    <t xml:space="preserve">RN-03</t>
  </si>
  <si>
    <t xml:space="preserve">Tiempos de HU frente a 2.1.1</t>
  </si>
  <si>
    <t xml:space="preserve">L4-RN05</t>
  </si>
  <si>
    <t xml:space="preserve">RN-05</t>
  </si>
  <si>
    <t xml:space="preserve">No indica qué se verifica ni dispositivos</t>
  </si>
  <si>
    <t xml:space="preserve">L4-RN07</t>
  </si>
  <si>
    <t xml:space="preserve">RN-07</t>
  </si>
  <si>
    <t xml:space="preserve">Errores de usuario sin definir</t>
  </si>
  <si>
    <t xml:space="preserve">L4-RN08</t>
  </si>
  <si>
    <t xml:space="preserve">RN-08</t>
  </si>
  <si>
    <t xml:space="preserve">«Según corresponda»</t>
  </si>
  <si>
    <t xml:space="preserve">L4-RN09</t>
  </si>
  <si>
    <t xml:space="preserve">RN-09</t>
  </si>
  <si>
    <t xml:space="preserve">L1-HU06-HU1, L1-HU06-HU2, L1-HU06-HU3, L1-HU06-HU4, B-03</t>
  </si>
  <si>
    <t xml:space="preserve">«Amigable» sin medida</t>
  </si>
  <si>
    <t xml:space="preserve">L4-RN10</t>
  </si>
  <si>
    <t xml:space="preserve">RN-10</t>
  </si>
  <si>
    <t xml:space="preserve">Transacciones simultáneas sin cantidad</t>
  </si>
  <si>
    <t xml:space="preserve">L4-RN11</t>
  </si>
  <si>
    <t xml:space="preserve">RN-11</t>
  </si>
  <si>
    <t xml:space="preserve">Sin método de verificación</t>
  </si>
  <si>
    <t xml:space="preserve">L4-RN12</t>
  </si>
  <si>
    <t xml:space="preserve">RN-12</t>
  </si>
  <si>
    <t xml:space="preserve">Sin tasa de fallos</t>
  </si>
  <si>
    <t xml:space="preserve">L4-RN13</t>
  </si>
  <si>
    <t xml:space="preserve">RN-13</t>
  </si>
  <si>
    <t xml:space="preserve">Sin disponibilidad</t>
  </si>
  <si>
    <t xml:space="preserve">L4-RN14</t>
  </si>
  <si>
    <t xml:space="preserve">RN-14</t>
  </si>
  <si>
    <t xml:space="preserve">Sin tolerancia a fallos general</t>
  </si>
  <si>
    <t xml:space="preserve">L4-RN15</t>
  </si>
  <si>
    <t xml:space="preserve">RN-15</t>
  </si>
  <si>
    <t xml:space="preserve">Sin recuperabilidad</t>
  </si>
  <si>
    <t xml:space="preserve">L4-RN16</t>
  </si>
  <si>
    <t xml:space="preserve">RN-16</t>
  </si>
  <si>
    <t xml:space="preserve">Transacciones frente a persistencia JSON</t>
  </si>
  <si>
    <t xml:space="preserve">L4-RN17</t>
  </si>
  <si>
    <t xml:space="preserve">RN-17</t>
  </si>
  <si>
    <t xml:space="preserve">Sin requisito de seguridad</t>
  </si>
  <si>
    <t xml:space="preserve">L4-RN18</t>
  </si>
  <si>
    <t xml:space="preserve">RN-18</t>
  </si>
  <si>
    <t xml:space="preserve">Sin trazabilidad a rangos del Brief</t>
  </si>
  <si>
    <t xml:space="preserve">L5-AR03</t>
  </si>
  <si>
    <t xml:space="preserve">DAS</t>
  </si>
  <si>
    <t xml:space="preserve">5</t>
  </si>
  <si>
    <t xml:space="preserve">AR-03</t>
  </si>
  <si>
    <t xml:space="preserve">Sin sección de stakeholders</t>
  </si>
  <si>
    <t xml:space="preserve">L5-AR04</t>
  </si>
  <si>
    <t xml:space="preserve">AR-04</t>
  </si>
  <si>
    <t xml:space="preserve">Sin factibilidad ni riesgos</t>
  </si>
  <si>
    <t xml:space="preserve">L5-AR05</t>
  </si>
  <si>
    <t xml:space="preserve">AR-05</t>
  </si>
  <si>
    <t xml:space="preserve">L5-AR03, L5-AR04</t>
  </si>
  <si>
    <t xml:space="preserve">Consecuencia de AR-03 y AR-04</t>
  </si>
  <si>
    <t xml:space="preserve">L5-AR06</t>
  </si>
  <si>
    <t xml:space="preserve">AR-06</t>
  </si>
  <si>
    <t xml:space="preserve">1.3 no cubre Fiabilidad</t>
  </si>
  <si>
    <t xml:space="preserve">L5-AR07</t>
  </si>
  <si>
    <t xml:space="preserve">AR-07</t>
  </si>
  <si>
    <t xml:space="preserve">Sin viewpoints</t>
  </si>
  <si>
    <t xml:space="preserve">L5-AR08</t>
  </si>
  <si>
    <t xml:space="preserve">AR-08</t>
  </si>
  <si>
    <t xml:space="preserve">Consecuencia de AR-07</t>
  </si>
  <si>
    <t xml:space="preserve">L5-AR09</t>
  </si>
  <si>
    <t xml:space="preserve">AR-09</t>
  </si>
  <si>
    <t xml:space="preserve">L5-AR10</t>
  </si>
  <si>
    <t xml:space="preserve">AR-10</t>
  </si>
  <si>
    <t xml:space="preserve">Vistas incompletas</t>
  </si>
  <si>
    <t xml:space="preserve">L5-AR11</t>
  </si>
  <si>
    <t xml:space="preserve">AR-11</t>
  </si>
  <si>
    <t xml:space="preserve">Contexto sin versión y con BD</t>
  </si>
  <si>
    <t xml:space="preserve">L5-AR12</t>
  </si>
  <si>
    <t xml:space="preserve">AR-12</t>
  </si>
  <si>
    <t xml:space="preserve">1.2, 1.5.2 y 1.5.3 vacíos o plantilla</t>
  </si>
  <si>
    <t xml:space="preserve">L5-AR13</t>
  </si>
  <si>
    <t xml:space="preserve">AR-13</t>
  </si>
  <si>
    <t xml:space="preserve">Parte II solo plantilla</t>
  </si>
  <si>
    <t xml:space="preserve">L5-AR14</t>
  </si>
  <si>
    <t xml:space="preserve">AR-14</t>
  </si>
  <si>
    <t xml:space="preserve">Sin registro de inconsistencias</t>
  </si>
  <si>
    <t xml:space="preserve">L5-AR15</t>
  </si>
  <si>
    <t xml:space="preserve">AR-15</t>
  </si>
  <si>
    <t xml:space="preserve">13 HU en Sprint 1 frente a ERS y Brief</t>
  </si>
  <si>
    <t xml:space="preserve">L5-AR16</t>
  </si>
  <si>
    <t xml:space="preserve">AR-16</t>
  </si>
  <si>
    <t xml:space="preserve">BD en contexto frente a JSON</t>
  </si>
  <si>
    <t xml:space="preserve">L5-AR17</t>
  </si>
  <si>
    <t xml:space="preserve">AR-17</t>
  </si>
  <si>
    <t xml:space="preserve">L5-AR18</t>
  </si>
  <si>
    <t xml:space="preserve">AR-18</t>
  </si>
  <si>
    <t xml:space="preserve">Decisiones sin concerns ni responsable</t>
  </si>
  <si>
    <t xml:space="preserve">L5-AR19</t>
  </si>
  <si>
    <t xml:space="preserve">AR-19</t>
  </si>
  <si>
    <t xml:space="preserve">Sin alternativas ni consecuencias</t>
  </si>
  <si>
    <t xml:space="preserve">L5-AR20</t>
  </si>
  <si>
    <t xml:space="preserve">AR-20</t>
  </si>
  <si>
    <t xml:space="preserve">JSON sin justificar frente a fiabilidad</t>
  </si>
  <si>
    <t xml:space="preserve">B-01</t>
  </si>
  <si>
    <t xml:space="preserve">Brief</t>
  </si>
  <si>
    <t xml:space="preserve">B</t>
  </si>
  <si>
    <t xml:space="preserve">Mapa de Impacto sin historias en backlog</t>
  </si>
  <si>
    <t xml:space="preserve">B-02</t>
  </si>
  <si>
    <t xml:space="preserve">Sin HU de inicio de sesión</t>
  </si>
  <si>
    <t xml:space="preserve">B-03</t>
  </si>
  <si>
    <t xml:space="preserve">Rangos de calidad no medibles</t>
  </si>
  <si>
    <t xml:space="preserve">B-04</t>
  </si>
  <si>
    <t xml:space="preserve">Versión 1.0 repetida</t>
  </si>
  <si>
    <t xml:space="preserve">B-05</t>
  </si>
  <si>
    <t xml:space="preserve">Plan de trabajo solo enlace</t>
  </si>
  <si>
    <t xml:space="preserve">(PRUEBA) La HU3 no contempla pérdida de conexión</t>
  </si>
  <si>
    <t xml:space="preserve">M-02</t>
  </si>
  <si>
    <t xml:space="preserve">ERS-221</t>
  </si>
  <si>
    <t xml:space="preserve">2.2.1</t>
  </si>
  <si>
    <t xml:space="preserve">(PRUEBA) Navegadores soportados sin versión</t>
  </si>
  <si>
    <t xml:space="preserve">M-03</t>
  </si>
  <si>
    <t xml:space="preserve">ERS-11</t>
  </si>
  <si>
    <t xml:space="preserve">(PRUEBA) Falta el rol administrador</t>
  </si>
  <si>
    <t xml:space="preserve">M-04</t>
  </si>
  <si>
    <t xml:space="preserve">(PRUEBA) Prioridad distinta a la del Brief</t>
  </si>
  <si>
    <t xml:space="preserve">M-05</t>
  </si>
  <si>
    <t xml:space="preserve">DAS-152</t>
  </si>
  <si>
    <t xml:space="preserve">(PRUEBA) Falta la vista de despliegue</t>
  </si>
  <si>
    <t xml:space="preserve">M-06</t>
  </si>
  <si>
    <t xml:space="preserve">DAS-151</t>
  </si>
  <si>
    <t xml:space="preserve">(PRUEBA) Diagrama de contexto sin leyenda</t>
  </si>
  <si>
    <t xml:space="preserve">M-07</t>
  </si>
  <si>
    <t xml:space="preserve">BR-MHU</t>
  </si>
  <si>
    <t xml:space="preserve">(PRUEBA) Épica fuera del alcance del MVP</t>
  </si>
  <si>
    <t xml:space="preserve">M-08</t>
  </si>
  <si>
    <t xml:space="preserve">M-09</t>
  </si>
  <si>
    <t xml:space="preserve">M-10</t>
  </si>
  <si>
    <t xml:space="preserve">M-11</t>
  </si>
  <si>
    <t xml:space="preserve">M-12</t>
  </si>
  <si>
    <t xml:space="preserve">M-13</t>
  </si>
  <si>
    <t xml:space="preserve">M-14</t>
  </si>
  <si>
    <t xml:space="preserve">M-15</t>
  </si>
  <si>
    <t xml:space="preserve">M-16</t>
  </si>
  <si>
    <t xml:space="preserve">M-17</t>
  </si>
  <si>
    <t xml:space="preserve">M-18</t>
  </si>
  <si>
    <t xml:space="preserve">M-19</t>
  </si>
  <si>
    <t xml:space="preserve">M-20</t>
  </si>
  <si>
    <t xml:space="preserve">M-21</t>
  </si>
  <si>
    <t xml:space="preserve">M-22</t>
  </si>
  <si>
    <t xml:space="preserve">M-23</t>
  </si>
  <si>
    <t xml:space="preserve">M-24</t>
  </si>
  <si>
    <t xml:space="preserve">M-25</t>
  </si>
  <si>
    <t xml:space="preserve">M-26</t>
  </si>
  <si>
    <t xml:space="preserve">M-27</t>
  </si>
  <si>
    <t xml:space="preserve">M-28</t>
  </si>
  <si>
    <t xml:space="preserve">M-29</t>
  </si>
  <si>
    <t xml:space="preserve">M-30</t>
  </si>
  <si>
    <t xml:space="preserve">M-31</t>
  </si>
  <si>
    <t xml:space="preserve">M-32</t>
  </si>
  <si>
    <t xml:space="preserve">M-33</t>
  </si>
  <si>
    <t xml:space="preserve">M-34</t>
  </si>
  <si>
    <t xml:space="preserve">M-35</t>
  </si>
  <si>
    <t xml:space="preserve">M-36</t>
  </si>
  <si>
    <t xml:space="preserve">M-37</t>
  </si>
  <si>
    <t xml:space="preserve">M-38</t>
  </si>
  <si>
    <t xml:space="preserve">M-39</t>
  </si>
  <si>
    <t xml:space="preserve">M-40</t>
  </si>
  <si>
    <t xml:space="preserve">M-41</t>
  </si>
  <si>
    <t xml:space="preserve">M-42</t>
  </si>
  <si>
    <t xml:space="preserve">M-43</t>
  </si>
  <si>
    <t xml:space="preserve">M-44</t>
  </si>
  <si>
    <t xml:space="preserve">M-45</t>
  </si>
  <si>
    <t xml:space="preserve">M-46</t>
  </si>
  <si>
    <t xml:space="preserve">M-47</t>
  </si>
  <si>
    <t xml:space="preserve">M-48</t>
  </si>
  <si>
    <t xml:space="preserve">M-49</t>
  </si>
  <si>
    <t xml:space="preserve">M-50</t>
  </si>
  <si>
    <t xml:space="preserve">M-51</t>
  </si>
  <si>
    <t xml:space="preserve">M-52</t>
  </si>
  <si>
    <t xml:space="preserve">M-53</t>
  </si>
  <si>
    <t xml:space="preserve">M-54</t>
  </si>
  <si>
    <t xml:space="preserve">M-55</t>
  </si>
  <si>
    <t xml:space="preserve">M-56</t>
  </si>
  <si>
    <t xml:space="preserve">M-57</t>
  </si>
  <si>
    <t xml:space="preserve">M-58</t>
  </si>
  <si>
    <t xml:space="preserve">M-59</t>
  </si>
  <si>
    <t xml:space="preserve">M-60</t>
  </si>
  <si>
    <t xml:space="preserve">Resumen de la verificación (se actualiza solo)</t>
  </si>
  <si>
    <t xml:space="preserve">Artefacto</t>
  </si>
  <si>
    <t xml:space="preserve">Hallazgos IA (únicos)</t>
  </si>
  <si>
    <t xml:space="preserve">Confirmados</t>
  </si>
  <si>
    <t xml:space="preserve">Falsos positivos</t>
  </si>
  <si>
    <t xml:space="preserve">Pendientes</t>
  </si>
  <si>
    <t xml:space="preserve">Nuevos del equipo</t>
  </si>
  <si>
    <t xml:space="preserve">Precisión IA</t>
  </si>
  <si>
    <t xml:space="preserve">EDD IA</t>
  </si>
  <si>
    <t xml:space="preserve">Total</t>
  </si>
  <si>
    <t xml:space="preserve">Precisión IA = confirmados / (confirmados + falsos positivos)</t>
  </si>
  <si>
    <t xml:space="preserve">EDD IA = confirmados / (confirmados + nuevos del equipo). Umbral del PACS: ≥ 85 %.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</si>
</sst>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0000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  <col collapsed="false" customWidth="true" hidden="false" outlineLevel="0" max="9" min="9" style="1" width="50"/>
    <col collapsed="false" customWidth="true" hidden="false" outlineLevel="0" max="10" min="10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/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/>
    </row>
    <row r="5" customFormat="false" ht="15" hidden="false" customHeight="true" outlineLevel="0" collapsed="false">
      <c r="A5" s="5" t="s">
        <v>2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5" t="s">
        <v>3</v>
      </c>
    </row>
    <row r="8" customFormat="false" ht="15" hidden="false" customHeight="true" outlineLevel="0" collapsed="false">
      <c r="A8" s="4" t="s">
        <v>4</v>
      </c>
    </row>
    <row r="9" customFormat="false" ht="15" hidden="false" customHeight="true" outlineLevel="0" collapsed="false">
      <c r="A9" s="4" t="s">
        <v>5</v>
      </c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4"/>
    </row>
    <row r="12" customFormat="false" ht="15" hidden="false" customHeight="true" outlineLevel="0" collapsed="false">
      <c r="A12" s="5" t="s">
        <v>7</v>
      </c>
    </row>
    <row r="13" customFormat="false" ht="15" hidden="false" customHeight="true" outlineLevel="0" collapsed="false">
      <c r="A13" s="4" t="s">
        <v>8</v>
      </c>
    </row>
    <row r="14" customFormat="false" ht="15" hidden="false" customHeight="true" outlineLevel="0" collapsed="false">
      <c r="A14" s="4" t="s">
        <v>9</v>
      </c>
    </row>
    <row r="15" customFormat="false" ht="15" hidden="false" customHeight="true" outlineLevel="0" collapsed="false">
      <c r="A15" s="4"/>
    </row>
    <row r="16" customFormat="false" ht="15" hidden="false" customHeight="true" outlineLevel="0" collapsed="false">
      <c r="A16" s="5" t="s">
        <v>10</v>
      </c>
    </row>
    <row r="17" customFormat="false" ht="15" hidden="false" customHeight="true" outlineLevel="0" collapsed="false">
      <c r="A17" s="4"/>
    </row>
    <row r="18" customFormat="false" ht="15" hidden="false" customHeight="true" outlineLevel="0" collapsed="false">
      <c r="A18" s="5" t="s">
        <v>11</v>
      </c>
    </row>
    <row r="19" customFormat="false" ht="15" hidden="false" customHeight="true" outlineLevel="0" collapsed="false">
      <c r="A19" s="4"/>
    </row>
    <row r="20" customFormat="false" ht="15" hidden="false" customHeight="true" outlineLevel="0" collapsed="false">
      <c r="A20" s="5" t="s">
        <v>12</v>
      </c>
    </row>
    <row r="21" customFormat="false" ht="15" hidden="false" customHeight="false" outlineLevel="0" collapsed="false">
      <c r="A21" s="6" t="s">
        <v>13</v>
      </c>
      <c r="B21" s="6" t="s">
        <v>14</v>
      </c>
      <c r="C21" s="6" t="s">
        <v>15</v>
      </c>
      <c r="D21" s="6" t="s">
        <v>16</v>
      </c>
      <c r="E21" s="6" t="s">
        <v>17</v>
      </c>
      <c r="F21" s="6" t="s">
        <v>18</v>
      </c>
      <c r="G21" s="6" t="s">
        <v>19</v>
      </c>
      <c r="H21" s="6" t="s">
        <v>20</v>
      </c>
      <c r="I21" s="6" t="s">
        <v>21</v>
      </c>
      <c r="J21" s="6" t="s">
        <v>22</v>
      </c>
    </row>
    <row r="22" customFormat="false" ht="15" hidden="false" customHeight="false" outlineLevel="0" collapsed="false">
      <c r="A22" s="7" t="s">
        <v>23</v>
      </c>
      <c r="B22" s="7" t="s">
        <v>24</v>
      </c>
      <c r="C22" s="7" t="s">
        <v>25</v>
      </c>
      <c r="D22" s="7" t="s">
        <v>26</v>
      </c>
      <c r="E22" s="7" t="s">
        <v>27</v>
      </c>
      <c r="F22" s="7" t="s">
        <v>28</v>
      </c>
      <c r="G22" s="7" t="s">
        <v>29</v>
      </c>
      <c r="H22" s="7" t="s">
        <v>30</v>
      </c>
      <c r="I22" s="7" t="s">
        <v>31</v>
      </c>
      <c r="J22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7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28"/>
    <col collapsed="false" customWidth="true" hidden="false" outlineLevel="0" max="9" min="9" style="1" width="55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40"/>
  </cols>
  <sheetData>
    <row r="1" customFormat="false" ht="15" hidden="false" customHeight="true" outlineLevel="0" collapsed="false">
      <c r="A1" s="8" t="s">
        <v>13</v>
      </c>
      <c r="B1" s="8" t="s">
        <v>33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34</v>
      </c>
      <c r="I1" s="8" t="s">
        <v>21</v>
      </c>
      <c r="J1" s="8" t="s">
        <v>35</v>
      </c>
      <c r="K1" s="8" t="s">
        <v>22</v>
      </c>
      <c r="L1" s="8" t="s">
        <v>36</v>
      </c>
    </row>
    <row r="2" customFormat="false" ht="15" hidden="false" customHeight="true" outlineLevel="0" collapsed="false">
      <c r="A2" s="9" t="s">
        <v>37</v>
      </c>
      <c r="B2" s="9" t="s">
        <v>38</v>
      </c>
      <c r="C2" s="9" t="s">
        <v>24</v>
      </c>
      <c r="D2" s="9" t="s">
        <v>25</v>
      </c>
      <c r="E2" s="9" t="s">
        <v>39</v>
      </c>
      <c r="F2" s="9" t="s">
        <v>40</v>
      </c>
      <c r="G2" s="9" t="s">
        <v>41</v>
      </c>
      <c r="H2" s="9"/>
      <c r="I2" s="9" t="s">
        <v>42</v>
      </c>
      <c r="J2" s="10" t="s">
        <v>43</v>
      </c>
      <c r="K2" s="10" t="s">
        <v>44</v>
      </c>
      <c r="L2" s="10" t="s">
        <v>45</v>
      </c>
    </row>
    <row r="3" customFormat="false" ht="15" hidden="false" customHeight="true" outlineLevel="0" collapsed="false">
      <c r="A3" s="9" t="s">
        <v>46</v>
      </c>
      <c r="B3" s="9" t="s">
        <v>38</v>
      </c>
      <c r="C3" s="9" t="s">
        <v>24</v>
      </c>
      <c r="D3" s="9" t="s">
        <v>25</v>
      </c>
      <c r="E3" s="9" t="s">
        <v>39</v>
      </c>
      <c r="F3" s="9" t="s">
        <v>40</v>
      </c>
      <c r="G3" s="9" t="s">
        <v>41</v>
      </c>
      <c r="H3" s="9"/>
      <c r="I3" s="9" t="s">
        <v>42</v>
      </c>
      <c r="J3" s="10" t="s">
        <v>43</v>
      </c>
      <c r="K3" s="10" t="s">
        <v>44</v>
      </c>
      <c r="L3" s="10" t="s">
        <v>45</v>
      </c>
    </row>
    <row r="4" customFormat="false" ht="15" hidden="false" customHeight="true" outlineLevel="0" collapsed="false">
      <c r="A4" s="9" t="s">
        <v>47</v>
      </c>
      <c r="B4" s="9" t="s">
        <v>38</v>
      </c>
      <c r="C4" s="9" t="s">
        <v>24</v>
      </c>
      <c r="D4" s="9" t="s">
        <v>25</v>
      </c>
      <c r="E4" s="9" t="s">
        <v>39</v>
      </c>
      <c r="F4" s="9" t="s">
        <v>40</v>
      </c>
      <c r="G4" s="9" t="s">
        <v>41</v>
      </c>
      <c r="H4" s="9"/>
      <c r="I4" s="9" t="s">
        <v>42</v>
      </c>
      <c r="J4" s="10" t="s">
        <v>43</v>
      </c>
      <c r="K4" s="10" t="s">
        <v>44</v>
      </c>
      <c r="L4" s="10" t="s">
        <v>45</v>
      </c>
    </row>
    <row r="5" customFormat="false" ht="15" hidden="false" customHeight="true" outlineLevel="0" collapsed="false">
      <c r="A5" s="9" t="s">
        <v>48</v>
      </c>
      <c r="B5" s="9" t="s">
        <v>38</v>
      </c>
      <c r="C5" s="9" t="s">
        <v>24</v>
      </c>
      <c r="D5" s="9" t="s">
        <v>25</v>
      </c>
      <c r="E5" s="9" t="s">
        <v>49</v>
      </c>
      <c r="F5" s="9" t="s">
        <v>50</v>
      </c>
      <c r="G5" s="9" t="s">
        <v>41</v>
      </c>
      <c r="H5" s="9"/>
      <c r="I5" s="9" t="s">
        <v>51</v>
      </c>
      <c r="J5" s="10" t="s">
        <v>43</v>
      </c>
      <c r="K5" s="10" t="s">
        <v>44</v>
      </c>
      <c r="L5" s="10" t="s">
        <v>45</v>
      </c>
    </row>
    <row r="6" customFormat="false" ht="15" hidden="false" customHeight="true" outlineLevel="0" collapsed="false">
      <c r="A6" s="9" t="s">
        <v>52</v>
      </c>
      <c r="B6" s="9" t="s">
        <v>38</v>
      </c>
      <c r="C6" s="9" t="s">
        <v>24</v>
      </c>
      <c r="D6" s="9" t="s">
        <v>25</v>
      </c>
      <c r="E6" s="9" t="s">
        <v>49</v>
      </c>
      <c r="F6" s="9" t="s">
        <v>50</v>
      </c>
      <c r="G6" s="9" t="s">
        <v>41</v>
      </c>
      <c r="H6" s="9"/>
      <c r="I6" s="9" t="s">
        <v>51</v>
      </c>
      <c r="J6" s="10" t="s">
        <v>43</v>
      </c>
      <c r="K6" s="10" t="s">
        <v>44</v>
      </c>
      <c r="L6" s="10" t="s">
        <v>45</v>
      </c>
    </row>
    <row r="7" customFormat="false" ht="15" hidden="false" customHeight="true" outlineLevel="0" collapsed="false">
      <c r="A7" s="9" t="s">
        <v>53</v>
      </c>
      <c r="B7" s="9" t="s">
        <v>38</v>
      </c>
      <c r="C7" s="9" t="s">
        <v>24</v>
      </c>
      <c r="D7" s="9" t="s">
        <v>25</v>
      </c>
      <c r="E7" s="9" t="s">
        <v>54</v>
      </c>
      <c r="F7" s="9" t="s">
        <v>55</v>
      </c>
      <c r="G7" s="9" t="s">
        <v>41</v>
      </c>
      <c r="H7" s="9"/>
      <c r="I7" s="9" t="s">
        <v>56</v>
      </c>
      <c r="J7" s="10" t="s">
        <v>57</v>
      </c>
      <c r="K7" s="10" t="s">
        <v>44</v>
      </c>
      <c r="L7" s="10"/>
    </row>
    <row r="8" customFormat="false" ht="15" hidden="false" customHeight="true" outlineLevel="0" collapsed="false">
      <c r="A8" s="9" t="s">
        <v>58</v>
      </c>
      <c r="B8" s="9" t="s">
        <v>38</v>
      </c>
      <c r="C8" s="9" t="s">
        <v>24</v>
      </c>
      <c r="D8" s="9" t="s">
        <v>25</v>
      </c>
      <c r="E8" s="9" t="s">
        <v>54</v>
      </c>
      <c r="F8" s="9" t="s">
        <v>55</v>
      </c>
      <c r="G8" s="9" t="s">
        <v>41</v>
      </c>
      <c r="H8" s="9"/>
      <c r="I8" s="9" t="s">
        <v>56</v>
      </c>
      <c r="J8" s="10" t="s">
        <v>57</v>
      </c>
      <c r="K8" s="10" t="s">
        <v>44</v>
      </c>
      <c r="L8" s="10"/>
    </row>
    <row r="9" customFormat="false" ht="15" hidden="false" customHeight="true" outlineLevel="0" collapsed="false">
      <c r="A9" s="9" t="s">
        <v>59</v>
      </c>
      <c r="B9" s="9" t="s">
        <v>38</v>
      </c>
      <c r="C9" s="9" t="s">
        <v>24</v>
      </c>
      <c r="D9" s="9" t="s">
        <v>25</v>
      </c>
      <c r="E9" s="9" t="s">
        <v>54</v>
      </c>
      <c r="F9" s="9" t="s">
        <v>55</v>
      </c>
      <c r="G9" s="9" t="s">
        <v>41</v>
      </c>
      <c r="H9" s="9"/>
      <c r="I9" s="9" t="s">
        <v>56</v>
      </c>
      <c r="J9" s="10" t="s">
        <v>57</v>
      </c>
      <c r="K9" s="10" t="s">
        <v>44</v>
      </c>
      <c r="L9" s="10"/>
    </row>
    <row r="10" customFormat="false" ht="15" hidden="false" customHeight="true" outlineLevel="0" collapsed="false">
      <c r="A10" s="9" t="s">
        <v>60</v>
      </c>
      <c r="B10" s="9" t="s">
        <v>38</v>
      </c>
      <c r="C10" s="9" t="s">
        <v>24</v>
      </c>
      <c r="D10" s="9" t="s">
        <v>25</v>
      </c>
      <c r="E10" s="9" t="s">
        <v>54</v>
      </c>
      <c r="F10" s="9" t="s">
        <v>55</v>
      </c>
      <c r="G10" s="9" t="s">
        <v>41</v>
      </c>
      <c r="H10" s="9"/>
      <c r="I10" s="9" t="s">
        <v>56</v>
      </c>
      <c r="J10" s="10" t="s">
        <v>57</v>
      </c>
      <c r="K10" s="10" t="s">
        <v>44</v>
      </c>
      <c r="L10" s="10"/>
    </row>
    <row r="11" customFormat="false" ht="15" hidden="false" customHeight="true" outlineLevel="0" collapsed="false">
      <c r="A11" s="9" t="s">
        <v>61</v>
      </c>
      <c r="B11" s="9" t="s">
        <v>38</v>
      </c>
      <c r="C11" s="9" t="s">
        <v>24</v>
      </c>
      <c r="D11" s="9" t="s">
        <v>25</v>
      </c>
      <c r="E11" s="9" t="s">
        <v>62</v>
      </c>
      <c r="F11" s="9" t="s">
        <v>27</v>
      </c>
      <c r="G11" s="9" t="s">
        <v>41</v>
      </c>
      <c r="H11" s="9"/>
      <c r="I11" s="9" t="s">
        <v>63</v>
      </c>
      <c r="J11" s="10" t="s">
        <v>64</v>
      </c>
      <c r="K11" s="10" t="s">
        <v>44</v>
      </c>
      <c r="L11" s="10"/>
    </row>
    <row r="12" customFormat="false" ht="15" hidden="false" customHeight="true" outlineLevel="0" collapsed="false">
      <c r="A12" s="9" t="s">
        <v>65</v>
      </c>
      <c r="B12" s="9" t="s">
        <v>38</v>
      </c>
      <c r="C12" s="9" t="s">
        <v>24</v>
      </c>
      <c r="D12" s="9" t="s">
        <v>25</v>
      </c>
      <c r="E12" s="9" t="s">
        <v>66</v>
      </c>
      <c r="F12" s="9" t="s">
        <v>55</v>
      </c>
      <c r="G12" s="9" t="s">
        <v>28</v>
      </c>
      <c r="H12" s="9"/>
      <c r="I12" s="9" t="s">
        <v>67</v>
      </c>
      <c r="J12" s="10" t="s">
        <v>64</v>
      </c>
      <c r="K12" s="10" t="s">
        <v>44</v>
      </c>
      <c r="L12" s="10"/>
    </row>
    <row r="13" customFormat="false" ht="15" hidden="false" customHeight="true" outlineLevel="0" collapsed="false">
      <c r="A13" s="9" t="s">
        <v>68</v>
      </c>
      <c r="B13" s="9" t="s">
        <v>38</v>
      </c>
      <c r="C13" s="9" t="s">
        <v>24</v>
      </c>
      <c r="D13" s="9" t="s">
        <v>25</v>
      </c>
      <c r="E13" s="9" t="s">
        <v>66</v>
      </c>
      <c r="F13" s="9" t="s">
        <v>55</v>
      </c>
      <c r="G13" s="9" t="s">
        <v>41</v>
      </c>
      <c r="H13" s="9"/>
      <c r="I13" s="9" t="s">
        <v>69</v>
      </c>
      <c r="J13" s="10" t="s">
        <v>64</v>
      </c>
      <c r="K13" s="10" t="s">
        <v>44</v>
      </c>
      <c r="L13" s="10"/>
    </row>
    <row r="14" customFormat="false" ht="15" hidden="false" customHeight="true" outlineLevel="0" collapsed="false">
      <c r="A14" s="9" t="s">
        <v>70</v>
      </c>
      <c r="B14" s="9" t="s">
        <v>38</v>
      </c>
      <c r="C14" s="9" t="s">
        <v>24</v>
      </c>
      <c r="D14" s="9" t="s">
        <v>25</v>
      </c>
      <c r="E14" s="9" t="s">
        <v>71</v>
      </c>
      <c r="F14" s="9" t="s">
        <v>55</v>
      </c>
      <c r="G14" s="9" t="s">
        <v>28</v>
      </c>
      <c r="H14" s="9"/>
      <c r="I14" s="9" t="s">
        <v>72</v>
      </c>
      <c r="J14" s="10" t="s">
        <v>64</v>
      </c>
      <c r="K14" s="10" t="s">
        <v>44</v>
      </c>
      <c r="L14" s="10"/>
    </row>
    <row r="15" customFormat="false" ht="15" hidden="false" customHeight="true" outlineLevel="0" collapsed="false">
      <c r="A15" s="9" t="s">
        <v>73</v>
      </c>
      <c r="B15" s="9" t="s">
        <v>38</v>
      </c>
      <c r="C15" s="9" t="s">
        <v>24</v>
      </c>
      <c r="D15" s="9" t="s">
        <v>25</v>
      </c>
      <c r="E15" s="9" t="s">
        <v>71</v>
      </c>
      <c r="F15" s="9" t="s">
        <v>55</v>
      </c>
      <c r="G15" s="9" t="s">
        <v>28</v>
      </c>
      <c r="H15" s="9"/>
      <c r="I15" s="9" t="s">
        <v>72</v>
      </c>
      <c r="J15" s="10" t="s">
        <v>64</v>
      </c>
      <c r="K15" s="10" t="s">
        <v>44</v>
      </c>
      <c r="L15" s="10"/>
    </row>
    <row r="16" customFormat="false" ht="15" hidden="false" customHeight="true" outlineLevel="0" collapsed="false">
      <c r="A16" s="9" t="s">
        <v>74</v>
      </c>
      <c r="B16" s="9" t="s">
        <v>38</v>
      </c>
      <c r="C16" s="9" t="s">
        <v>24</v>
      </c>
      <c r="D16" s="9" t="s">
        <v>25</v>
      </c>
      <c r="E16" s="9" t="s">
        <v>71</v>
      </c>
      <c r="F16" s="9" t="s">
        <v>55</v>
      </c>
      <c r="G16" s="9" t="s">
        <v>28</v>
      </c>
      <c r="H16" s="9"/>
      <c r="I16" s="9" t="s">
        <v>72</v>
      </c>
      <c r="J16" s="10" t="s">
        <v>64</v>
      </c>
      <c r="K16" s="10" t="s">
        <v>44</v>
      </c>
      <c r="L16" s="10"/>
    </row>
    <row r="17" customFormat="false" ht="15" hidden="false" customHeight="true" outlineLevel="0" collapsed="false">
      <c r="A17" s="9" t="s">
        <v>75</v>
      </c>
      <c r="B17" s="9" t="s">
        <v>38</v>
      </c>
      <c r="C17" s="9" t="s">
        <v>24</v>
      </c>
      <c r="D17" s="9" t="s">
        <v>25</v>
      </c>
      <c r="E17" s="9" t="s">
        <v>71</v>
      </c>
      <c r="F17" s="9" t="s">
        <v>55</v>
      </c>
      <c r="G17" s="9" t="s">
        <v>28</v>
      </c>
      <c r="H17" s="9"/>
      <c r="I17" s="9" t="s">
        <v>72</v>
      </c>
      <c r="J17" s="10" t="s">
        <v>64</v>
      </c>
      <c r="K17" s="10" t="s">
        <v>44</v>
      </c>
      <c r="L17" s="10"/>
    </row>
    <row r="18" customFormat="false" ht="15" hidden="false" customHeight="true" outlineLevel="0" collapsed="false">
      <c r="A18" s="9" t="s">
        <v>76</v>
      </c>
      <c r="B18" s="9" t="s">
        <v>38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9"/>
      <c r="I18" s="9" t="s">
        <v>77</v>
      </c>
      <c r="J18" s="10" t="s">
        <v>64</v>
      </c>
      <c r="K18" s="10" t="s">
        <v>44</v>
      </c>
      <c r="L18" s="10"/>
    </row>
    <row r="19" customFormat="false" ht="15" hidden="false" customHeight="true" outlineLevel="0" collapsed="false">
      <c r="A19" s="9" t="s">
        <v>78</v>
      </c>
      <c r="B19" s="9" t="s">
        <v>38</v>
      </c>
      <c r="C19" s="9" t="s">
        <v>24</v>
      </c>
      <c r="D19" s="9" t="s">
        <v>25</v>
      </c>
      <c r="E19" s="9" t="s">
        <v>26</v>
      </c>
      <c r="F19" s="9" t="s">
        <v>27</v>
      </c>
      <c r="G19" s="9" t="s">
        <v>28</v>
      </c>
      <c r="H19" s="9"/>
      <c r="I19" s="9" t="s">
        <v>77</v>
      </c>
      <c r="J19" s="10" t="s">
        <v>64</v>
      </c>
      <c r="K19" s="10" t="s">
        <v>44</v>
      </c>
      <c r="L19" s="10"/>
    </row>
    <row r="20" customFormat="false" ht="15" hidden="false" customHeight="true" outlineLevel="0" collapsed="false">
      <c r="A20" s="9" t="s">
        <v>79</v>
      </c>
      <c r="B20" s="9" t="s">
        <v>38</v>
      </c>
      <c r="C20" s="9" t="s">
        <v>24</v>
      </c>
      <c r="D20" s="9" t="s">
        <v>25</v>
      </c>
      <c r="E20" s="9" t="s">
        <v>26</v>
      </c>
      <c r="F20" s="9" t="s">
        <v>27</v>
      </c>
      <c r="G20" s="9" t="s">
        <v>28</v>
      </c>
      <c r="H20" s="9"/>
      <c r="I20" s="9" t="s">
        <v>77</v>
      </c>
      <c r="J20" s="10" t="s">
        <v>64</v>
      </c>
      <c r="K20" s="10" t="s">
        <v>44</v>
      </c>
      <c r="L20" s="10"/>
    </row>
    <row r="21" customFormat="false" ht="15" hidden="false" customHeight="true" outlineLevel="0" collapsed="false">
      <c r="A21" s="9" t="s">
        <v>80</v>
      </c>
      <c r="B21" s="9" t="s">
        <v>38</v>
      </c>
      <c r="C21" s="9" t="s">
        <v>24</v>
      </c>
      <c r="D21" s="9" t="s">
        <v>25</v>
      </c>
      <c r="E21" s="9" t="s">
        <v>81</v>
      </c>
      <c r="F21" s="9" t="s">
        <v>40</v>
      </c>
      <c r="G21" s="9" t="s">
        <v>28</v>
      </c>
      <c r="H21" s="9"/>
      <c r="I21" s="9" t="s">
        <v>82</v>
      </c>
      <c r="J21" s="10" t="s">
        <v>64</v>
      </c>
      <c r="K21" s="10" t="s">
        <v>44</v>
      </c>
      <c r="L21" s="10"/>
    </row>
    <row r="22" customFormat="false" ht="15" hidden="false" customHeight="true" outlineLevel="0" collapsed="false">
      <c r="A22" s="9" t="s">
        <v>83</v>
      </c>
      <c r="B22" s="9" t="s">
        <v>38</v>
      </c>
      <c r="C22" s="9" t="s">
        <v>24</v>
      </c>
      <c r="D22" s="9" t="s">
        <v>25</v>
      </c>
      <c r="E22" s="9" t="s">
        <v>81</v>
      </c>
      <c r="F22" s="9" t="s">
        <v>40</v>
      </c>
      <c r="G22" s="9" t="s">
        <v>41</v>
      </c>
      <c r="H22" s="9"/>
      <c r="I22" s="9" t="s">
        <v>84</v>
      </c>
      <c r="J22" s="10" t="s">
        <v>64</v>
      </c>
      <c r="K22" s="10" t="s">
        <v>44</v>
      </c>
      <c r="L22" s="10"/>
    </row>
    <row r="23" customFormat="false" ht="15" hidden="false" customHeight="true" outlineLevel="0" collapsed="false">
      <c r="A23" s="9" t="s">
        <v>85</v>
      </c>
      <c r="B23" s="9" t="s">
        <v>38</v>
      </c>
      <c r="C23" s="9" t="s">
        <v>24</v>
      </c>
      <c r="D23" s="9" t="s">
        <v>25</v>
      </c>
      <c r="E23" s="9" t="s">
        <v>86</v>
      </c>
      <c r="F23" s="9" t="s">
        <v>50</v>
      </c>
      <c r="G23" s="9" t="s">
        <v>41</v>
      </c>
      <c r="H23" s="9"/>
      <c r="I23" s="9" t="s">
        <v>87</v>
      </c>
      <c r="J23" s="10" t="s">
        <v>64</v>
      </c>
      <c r="K23" s="10" t="s">
        <v>44</v>
      </c>
      <c r="L23" s="10"/>
    </row>
    <row r="24" customFormat="false" ht="15" hidden="false" customHeight="true" outlineLevel="0" collapsed="false">
      <c r="A24" s="9" t="s">
        <v>88</v>
      </c>
      <c r="B24" s="9" t="s">
        <v>38</v>
      </c>
      <c r="C24" s="9" t="s">
        <v>24</v>
      </c>
      <c r="D24" s="9" t="s">
        <v>25</v>
      </c>
      <c r="E24" s="9" t="s">
        <v>86</v>
      </c>
      <c r="F24" s="9" t="s">
        <v>50</v>
      </c>
      <c r="G24" s="9" t="s">
        <v>41</v>
      </c>
      <c r="H24" s="9"/>
      <c r="I24" s="9" t="s">
        <v>87</v>
      </c>
      <c r="J24" s="10" t="s">
        <v>64</v>
      </c>
      <c r="K24" s="10" t="s">
        <v>44</v>
      </c>
      <c r="L24" s="10"/>
    </row>
    <row r="25" customFormat="false" ht="15" hidden="false" customHeight="true" outlineLevel="0" collapsed="false">
      <c r="A25" s="9" t="s">
        <v>89</v>
      </c>
      <c r="B25" s="9" t="s">
        <v>38</v>
      </c>
      <c r="C25" s="9" t="s">
        <v>24</v>
      </c>
      <c r="D25" s="9" t="s">
        <v>25</v>
      </c>
      <c r="E25" s="9" t="s">
        <v>86</v>
      </c>
      <c r="F25" s="9" t="s">
        <v>50</v>
      </c>
      <c r="G25" s="9" t="s">
        <v>41</v>
      </c>
      <c r="H25" s="9"/>
      <c r="I25" s="9" t="s">
        <v>87</v>
      </c>
      <c r="J25" s="10" t="s">
        <v>64</v>
      </c>
      <c r="K25" s="10" t="s">
        <v>44</v>
      </c>
      <c r="L25" s="10"/>
    </row>
    <row r="26" customFormat="false" ht="15" hidden="false" customHeight="true" outlineLevel="0" collapsed="false">
      <c r="A26" s="9" t="s">
        <v>90</v>
      </c>
      <c r="B26" s="9" t="s">
        <v>38</v>
      </c>
      <c r="C26" s="9" t="s">
        <v>24</v>
      </c>
      <c r="D26" s="9" t="s">
        <v>25</v>
      </c>
      <c r="E26" s="9" t="s">
        <v>86</v>
      </c>
      <c r="F26" s="9" t="s">
        <v>50</v>
      </c>
      <c r="G26" s="9" t="s">
        <v>41</v>
      </c>
      <c r="H26" s="9"/>
      <c r="I26" s="9" t="s">
        <v>87</v>
      </c>
      <c r="J26" s="10" t="s">
        <v>64</v>
      </c>
      <c r="K26" s="10" t="s">
        <v>44</v>
      </c>
      <c r="L26" s="10"/>
    </row>
    <row r="27" customFormat="false" ht="15" hidden="false" customHeight="true" outlineLevel="0" collapsed="false">
      <c r="A27" s="9" t="s">
        <v>91</v>
      </c>
      <c r="B27" s="9" t="s">
        <v>38</v>
      </c>
      <c r="C27" s="9" t="s">
        <v>24</v>
      </c>
      <c r="D27" s="9" t="s">
        <v>25</v>
      </c>
      <c r="E27" s="9" t="s">
        <v>92</v>
      </c>
      <c r="F27" s="9" t="s">
        <v>27</v>
      </c>
      <c r="G27" s="9" t="s">
        <v>41</v>
      </c>
      <c r="H27" s="9"/>
      <c r="I27" s="9" t="s">
        <v>93</v>
      </c>
      <c r="J27" s="10" t="s">
        <v>64</v>
      </c>
      <c r="K27" s="10" t="s">
        <v>44</v>
      </c>
      <c r="L27" s="10"/>
    </row>
    <row r="28" customFormat="false" ht="15" hidden="false" customHeight="true" outlineLevel="0" collapsed="false">
      <c r="A28" s="9" t="s">
        <v>94</v>
      </c>
      <c r="B28" s="9" t="s">
        <v>38</v>
      </c>
      <c r="C28" s="9" t="s">
        <v>24</v>
      </c>
      <c r="D28" s="9" t="s">
        <v>95</v>
      </c>
      <c r="E28" s="9" t="s">
        <v>96</v>
      </c>
      <c r="F28" s="9" t="s">
        <v>40</v>
      </c>
      <c r="G28" s="9" t="s">
        <v>41</v>
      </c>
      <c r="H28" s="9"/>
      <c r="I28" s="9" t="s">
        <v>97</v>
      </c>
      <c r="J28" s="10" t="s">
        <v>64</v>
      </c>
      <c r="K28" s="10" t="s">
        <v>44</v>
      </c>
      <c r="L28" s="10"/>
    </row>
    <row r="29" customFormat="false" ht="15" hidden="false" customHeight="true" outlineLevel="0" collapsed="false">
      <c r="A29" s="9" t="s">
        <v>98</v>
      </c>
      <c r="B29" s="9" t="s">
        <v>38</v>
      </c>
      <c r="C29" s="9" t="s">
        <v>24</v>
      </c>
      <c r="D29" s="9" t="s">
        <v>95</v>
      </c>
      <c r="E29" s="9" t="s">
        <v>99</v>
      </c>
      <c r="F29" s="9" t="s">
        <v>40</v>
      </c>
      <c r="G29" s="9" t="s">
        <v>28</v>
      </c>
      <c r="H29" s="9"/>
      <c r="I29" s="9" t="s">
        <v>100</v>
      </c>
      <c r="J29" s="10" t="s">
        <v>64</v>
      </c>
      <c r="K29" s="10" t="s">
        <v>44</v>
      </c>
      <c r="L29" s="10"/>
    </row>
    <row r="30" customFormat="false" ht="15" hidden="false" customHeight="true" outlineLevel="0" collapsed="false">
      <c r="A30" s="7" t="s">
        <v>101</v>
      </c>
      <c r="B30" s="7" t="s">
        <v>102</v>
      </c>
      <c r="C30" s="7" t="s">
        <v>24</v>
      </c>
      <c r="D30" s="7" t="s">
        <v>95</v>
      </c>
      <c r="E30" s="7" t="s">
        <v>103</v>
      </c>
      <c r="F30" s="7" t="s">
        <v>40</v>
      </c>
      <c r="G30" s="7" t="s">
        <v>41</v>
      </c>
      <c r="H30" s="7" t="s">
        <v>104</v>
      </c>
      <c r="I30" s="7" t="s">
        <v>105</v>
      </c>
      <c r="J30" s="10" t="s">
        <v>43</v>
      </c>
      <c r="K30" s="10"/>
      <c r="L30" s="10" t="s">
        <v>106</v>
      </c>
    </row>
    <row r="31" customFormat="false" ht="15" hidden="false" customHeight="true" outlineLevel="0" collapsed="false">
      <c r="A31" s="9" t="s">
        <v>107</v>
      </c>
      <c r="B31" s="9" t="s">
        <v>38</v>
      </c>
      <c r="C31" s="9" t="s">
        <v>24</v>
      </c>
      <c r="D31" s="9" t="s">
        <v>95</v>
      </c>
      <c r="E31" s="9" t="s">
        <v>108</v>
      </c>
      <c r="F31" s="9" t="s">
        <v>27</v>
      </c>
      <c r="G31" s="9" t="s">
        <v>41</v>
      </c>
      <c r="H31" s="9"/>
      <c r="I31" s="9" t="s">
        <v>109</v>
      </c>
      <c r="J31" s="10" t="s">
        <v>64</v>
      </c>
      <c r="K31" s="10" t="s">
        <v>44</v>
      </c>
      <c r="L31" s="10"/>
    </row>
    <row r="32" customFormat="false" ht="15" hidden="false" customHeight="true" outlineLevel="0" collapsed="false">
      <c r="A32" s="7" t="s">
        <v>110</v>
      </c>
      <c r="B32" s="7" t="s">
        <v>102</v>
      </c>
      <c r="C32" s="7" t="s">
        <v>24</v>
      </c>
      <c r="D32" s="7" t="s">
        <v>95</v>
      </c>
      <c r="E32" s="7" t="s">
        <v>111</v>
      </c>
      <c r="F32" s="7" t="s">
        <v>50</v>
      </c>
      <c r="G32" s="7" t="s">
        <v>41</v>
      </c>
      <c r="H32" s="7" t="s">
        <v>112</v>
      </c>
      <c r="I32" s="7" t="s">
        <v>113</v>
      </c>
      <c r="J32" s="10" t="s">
        <v>43</v>
      </c>
      <c r="K32" s="10"/>
      <c r="L32" s="10" t="s">
        <v>106</v>
      </c>
    </row>
    <row r="33" customFormat="false" ht="15" hidden="false" customHeight="true" outlineLevel="0" collapsed="false">
      <c r="A33" s="9" t="s">
        <v>114</v>
      </c>
      <c r="B33" s="9" t="s">
        <v>38</v>
      </c>
      <c r="C33" s="9" t="s">
        <v>24</v>
      </c>
      <c r="D33" s="9" t="s">
        <v>95</v>
      </c>
      <c r="E33" s="9" t="s">
        <v>115</v>
      </c>
      <c r="F33" s="9" t="s">
        <v>27</v>
      </c>
      <c r="G33" s="9" t="s">
        <v>41</v>
      </c>
      <c r="H33" s="9"/>
      <c r="I33" s="9" t="s">
        <v>116</v>
      </c>
      <c r="J33" s="10" t="s">
        <v>64</v>
      </c>
      <c r="K33" s="10" t="s">
        <v>44</v>
      </c>
      <c r="L33" s="10"/>
    </row>
    <row r="34" customFormat="false" ht="15" hidden="false" customHeight="true" outlineLevel="0" collapsed="false">
      <c r="A34" s="9" t="s">
        <v>117</v>
      </c>
      <c r="B34" s="9" t="s">
        <v>38</v>
      </c>
      <c r="C34" s="9" t="s">
        <v>24</v>
      </c>
      <c r="D34" s="9" t="s">
        <v>118</v>
      </c>
      <c r="E34" s="9" t="s">
        <v>119</v>
      </c>
      <c r="F34" s="9" t="s">
        <v>27</v>
      </c>
      <c r="G34" s="9" t="s">
        <v>28</v>
      </c>
      <c r="H34" s="9"/>
      <c r="I34" s="9" t="s">
        <v>120</v>
      </c>
      <c r="J34" s="10" t="s">
        <v>64</v>
      </c>
      <c r="K34" s="10" t="s">
        <v>44</v>
      </c>
      <c r="L34" s="10"/>
    </row>
    <row r="35" customFormat="false" ht="15" hidden="false" customHeight="true" outlineLevel="0" collapsed="false">
      <c r="A35" s="7" t="s">
        <v>121</v>
      </c>
      <c r="B35" s="7" t="s">
        <v>102</v>
      </c>
      <c r="C35" s="7" t="s">
        <v>24</v>
      </c>
      <c r="D35" s="7" t="s">
        <v>118</v>
      </c>
      <c r="E35" s="7" t="s">
        <v>122</v>
      </c>
      <c r="F35" s="7" t="s">
        <v>27</v>
      </c>
      <c r="G35" s="7" t="s">
        <v>28</v>
      </c>
      <c r="H35" s="7" t="s">
        <v>123</v>
      </c>
      <c r="I35" s="7" t="s">
        <v>124</v>
      </c>
      <c r="J35" s="10" t="s">
        <v>43</v>
      </c>
      <c r="K35" s="10"/>
      <c r="L35" s="10" t="s">
        <v>106</v>
      </c>
    </row>
    <row r="36" customFormat="false" ht="15" hidden="false" customHeight="true" outlineLevel="0" collapsed="false">
      <c r="A36" s="9" t="s">
        <v>125</v>
      </c>
      <c r="B36" s="9" t="s">
        <v>38</v>
      </c>
      <c r="C36" s="9" t="s">
        <v>24</v>
      </c>
      <c r="D36" s="9" t="s">
        <v>118</v>
      </c>
      <c r="E36" s="9" t="s">
        <v>126</v>
      </c>
      <c r="F36" s="9" t="s">
        <v>27</v>
      </c>
      <c r="G36" s="9" t="s">
        <v>41</v>
      </c>
      <c r="H36" s="9"/>
      <c r="I36" s="9" t="s">
        <v>127</v>
      </c>
      <c r="J36" s="10" t="s">
        <v>64</v>
      </c>
      <c r="K36" s="10" t="s">
        <v>44</v>
      </c>
      <c r="L36" s="10"/>
    </row>
    <row r="37" customFormat="false" ht="15" hidden="false" customHeight="true" outlineLevel="0" collapsed="false">
      <c r="A37" s="9" t="s">
        <v>128</v>
      </c>
      <c r="B37" s="9" t="s">
        <v>38</v>
      </c>
      <c r="C37" s="9" t="s">
        <v>24</v>
      </c>
      <c r="D37" s="9" t="s">
        <v>118</v>
      </c>
      <c r="E37" s="9" t="s">
        <v>129</v>
      </c>
      <c r="F37" s="9" t="s">
        <v>27</v>
      </c>
      <c r="G37" s="9" t="s">
        <v>28</v>
      </c>
      <c r="H37" s="9"/>
      <c r="I37" s="9" t="s">
        <v>130</v>
      </c>
      <c r="J37" s="10" t="s">
        <v>64</v>
      </c>
      <c r="K37" s="10" t="s">
        <v>44</v>
      </c>
      <c r="L37" s="10"/>
    </row>
    <row r="38" customFormat="false" ht="15" hidden="false" customHeight="true" outlineLevel="0" collapsed="false">
      <c r="A38" s="9" t="s">
        <v>131</v>
      </c>
      <c r="B38" s="9" t="s">
        <v>38</v>
      </c>
      <c r="C38" s="9" t="s">
        <v>24</v>
      </c>
      <c r="D38" s="9" t="s">
        <v>118</v>
      </c>
      <c r="E38" s="9" t="s">
        <v>132</v>
      </c>
      <c r="F38" s="9" t="s">
        <v>50</v>
      </c>
      <c r="G38" s="9" t="s">
        <v>41</v>
      </c>
      <c r="H38" s="9"/>
      <c r="I38" s="9" t="s">
        <v>133</v>
      </c>
      <c r="J38" s="10" t="s">
        <v>64</v>
      </c>
      <c r="K38" s="10" t="s">
        <v>44</v>
      </c>
      <c r="L38" s="10"/>
    </row>
    <row r="39" customFormat="false" ht="15" hidden="false" customHeight="true" outlineLevel="0" collapsed="false">
      <c r="A39" s="9" t="s">
        <v>134</v>
      </c>
      <c r="B39" s="9" t="s">
        <v>38</v>
      </c>
      <c r="C39" s="9" t="s">
        <v>24</v>
      </c>
      <c r="D39" s="9" t="s">
        <v>118</v>
      </c>
      <c r="E39" s="9" t="s">
        <v>135</v>
      </c>
      <c r="F39" s="9" t="s">
        <v>50</v>
      </c>
      <c r="G39" s="9" t="s">
        <v>28</v>
      </c>
      <c r="H39" s="9"/>
      <c r="I39" s="9" t="s">
        <v>136</v>
      </c>
      <c r="J39" s="10" t="s">
        <v>64</v>
      </c>
      <c r="K39" s="10" t="s">
        <v>44</v>
      </c>
      <c r="L39" s="10"/>
    </row>
    <row r="40" customFormat="false" ht="15" hidden="false" customHeight="true" outlineLevel="0" collapsed="false">
      <c r="A40" s="9" t="s">
        <v>137</v>
      </c>
      <c r="B40" s="9" t="s">
        <v>38</v>
      </c>
      <c r="C40" s="9" t="s">
        <v>24</v>
      </c>
      <c r="D40" s="9" t="s">
        <v>118</v>
      </c>
      <c r="E40" s="9" t="s">
        <v>138</v>
      </c>
      <c r="F40" s="9" t="s">
        <v>50</v>
      </c>
      <c r="G40" s="9" t="s">
        <v>28</v>
      </c>
      <c r="H40" s="9"/>
      <c r="I40" s="9" t="s">
        <v>139</v>
      </c>
      <c r="J40" s="10" t="s">
        <v>64</v>
      </c>
      <c r="K40" s="10" t="s">
        <v>44</v>
      </c>
      <c r="L40" s="10"/>
    </row>
    <row r="41" customFormat="false" ht="15" hidden="false" customHeight="true" outlineLevel="0" collapsed="false">
      <c r="A41" s="7" t="s">
        <v>140</v>
      </c>
      <c r="B41" s="7" t="s">
        <v>102</v>
      </c>
      <c r="C41" s="7" t="s">
        <v>24</v>
      </c>
      <c r="D41" s="7" t="s">
        <v>118</v>
      </c>
      <c r="E41" s="7" t="s">
        <v>141</v>
      </c>
      <c r="F41" s="7" t="s">
        <v>55</v>
      </c>
      <c r="G41" s="7" t="s">
        <v>28</v>
      </c>
      <c r="H41" s="7" t="s">
        <v>142</v>
      </c>
      <c r="I41" s="7" t="s">
        <v>143</v>
      </c>
      <c r="J41" s="10" t="s">
        <v>43</v>
      </c>
      <c r="K41" s="10"/>
      <c r="L41" s="10" t="s">
        <v>106</v>
      </c>
    </row>
    <row r="42" customFormat="false" ht="15" hidden="false" customHeight="true" outlineLevel="0" collapsed="false">
      <c r="A42" s="7" t="s">
        <v>144</v>
      </c>
      <c r="B42" s="7" t="s">
        <v>102</v>
      </c>
      <c r="C42" s="7" t="s">
        <v>24</v>
      </c>
      <c r="D42" s="7" t="s">
        <v>118</v>
      </c>
      <c r="E42" s="7" t="s">
        <v>145</v>
      </c>
      <c r="F42" s="7" t="s">
        <v>55</v>
      </c>
      <c r="G42" s="7" t="s">
        <v>28</v>
      </c>
      <c r="H42" s="7" t="s">
        <v>146</v>
      </c>
      <c r="I42" s="7" t="s">
        <v>147</v>
      </c>
      <c r="J42" s="10" t="s">
        <v>43</v>
      </c>
      <c r="K42" s="10"/>
      <c r="L42" s="10" t="s">
        <v>106</v>
      </c>
    </row>
    <row r="43" customFormat="false" ht="15" hidden="false" customHeight="true" outlineLevel="0" collapsed="false">
      <c r="A43" s="7" t="s">
        <v>148</v>
      </c>
      <c r="B43" s="7" t="s">
        <v>102</v>
      </c>
      <c r="C43" s="7" t="s">
        <v>24</v>
      </c>
      <c r="D43" s="7" t="s">
        <v>118</v>
      </c>
      <c r="E43" s="7" t="s">
        <v>149</v>
      </c>
      <c r="F43" s="7" t="s">
        <v>55</v>
      </c>
      <c r="G43" s="7" t="s">
        <v>41</v>
      </c>
      <c r="H43" s="7" t="s">
        <v>150</v>
      </c>
      <c r="I43" s="7" t="s">
        <v>151</v>
      </c>
      <c r="J43" s="10" t="s">
        <v>43</v>
      </c>
      <c r="K43" s="10"/>
      <c r="L43" s="10" t="s">
        <v>106</v>
      </c>
    </row>
    <row r="44" customFormat="false" ht="15" hidden="false" customHeight="true" outlineLevel="0" collapsed="false">
      <c r="A44" s="7" t="s">
        <v>152</v>
      </c>
      <c r="B44" s="7" t="s">
        <v>102</v>
      </c>
      <c r="C44" s="7" t="s">
        <v>24</v>
      </c>
      <c r="D44" s="7" t="s">
        <v>118</v>
      </c>
      <c r="E44" s="7" t="s">
        <v>153</v>
      </c>
      <c r="F44" s="7" t="s">
        <v>40</v>
      </c>
      <c r="G44" s="7" t="s">
        <v>28</v>
      </c>
      <c r="H44" s="7" t="s">
        <v>154</v>
      </c>
      <c r="I44" s="7" t="s">
        <v>155</v>
      </c>
      <c r="J44" s="10" t="s">
        <v>43</v>
      </c>
      <c r="K44" s="10"/>
      <c r="L44" s="10" t="s">
        <v>106</v>
      </c>
    </row>
    <row r="45" customFormat="false" ht="15" hidden="false" customHeight="true" outlineLevel="0" collapsed="false">
      <c r="A45" s="7" t="s">
        <v>156</v>
      </c>
      <c r="B45" s="7" t="s">
        <v>102</v>
      </c>
      <c r="C45" s="7" t="s">
        <v>24</v>
      </c>
      <c r="D45" s="7" t="s">
        <v>118</v>
      </c>
      <c r="E45" s="7" t="s">
        <v>157</v>
      </c>
      <c r="F45" s="7" t="s">
        <v>40</v>
      </c>
      <c r="G45" s="7" t="s">
        <v>28</v>
      </c>
      <c r="H45" s="7" t="s">
        <v>158</v>
      </c>
      <c r="I45" s="7" t="s">
        <v>159</v>
      </c>
      <c r="J45" s="10" t="s">
        <v>43</v>
      </c>
      <c r="K45" s="10"/>
      <c r="L45" s="10" t="s">
        <v>106</v>
      </c>
    </row>
    <row r="46" customFormat="false" ht="15" hidden="false" customHeight="true" outlineLevel="0" collapsed="false">
      <c r="A46" s="7" t="s">
        <v>160</v>
      </c>
      <c r="B46" s="7" t="s">
        <v>102</v>
      </c>
      <c r="C46" s="7" t="s">
        <v>24</v>
      </c>
      <c r="D46" s="7" t="s">
        <v>118</v>
      </c>
      <c r="E46" s="7" t="s">
        <v>161</v>
      </c>
      <c r="F46" s="7" t="s">
        <v>40</v>
      </c>
      <c r="G46" s="7" t="s">
        <v>28</v>
      </c>
      <c r="H46" s="7" t="s">
        <v>162</v>
      </c>
      <c r="I46" s="7" t="s">
        <v>163</v>
      </c>
      <c r="J46" s="10" t="s">
        <v>43</v>
      </c>
      <c r="K46" s="10"/>
      <c r="L46" s="10" t="s">
        <v>106</v>
      </c>
    </row>
    <row r="47" customFormat="false" ht="15" hidden="false" customHeight="true" outlineLevel="0" collapsed="false">
      <c r="A47" s="9" t="s">
        <v>164</v>
      </c>
      <c r="B47" s="9" t="s">
        <v>38</v>
      </c>
      <c r="C47" s="9" t="s">
        <v>24</v>
      </c>
      <c r="D47" s="9" t="s">
        <v>165</v>
      </c>
      <c r="E47" s="9" t="s">
        <v>166</v>
      </c>
      <c r="F47" s="9" t="s">
        <v>27</v>
      </c>
      <c r="G47" s="9" t="s">
        <v>28</v>
      </c>
      <c r="H47" s="9"/>
      <c r="I47" s="9" t="s">
        <v>167</v>
      </c>
      <c r="J47" s="10" t="s">
        <v>64</v>
      </c>
      <c r="K47" s="10" t="s">
        <v>44</v>
      </c>
      <c r="L47" s="10"/>
    </row>
    <row r="48" customFormat="false" ht="15" hidden="false" customHeight="true" outlineLevel="0" collapsed="false">
      <c r="A48" s="7" t="s">
        <v>168</v>
      </c>
      <c r="B48" s="7" t="s">
        <v>102</v>
      </c>
      <c r="C48" s="7" t="s">
        <v>24</v>
      </c>
      <c r="D48" s="7" t="s">
        <v>165</v>
      </c>
      <c r="E48" s="7" t="s">
        <v>169</v>
      </c>
      <c r="F48" s="7" t="s">
        <v>40</v>
      </c>
      <c r="G48" s="7" t="s">
        <v>28</v>
      </c>
      <c r="H48" s="7" t="s">
        <v>162</v>
      </c>
      <c r="I48" s="7" t="s">
        <v>170</v>
      </c>
      <c r="J48" s="10" t="s">
        <v>43</v>
      </c>
      <c r="K48" s="10"/>
      <c r="L48" s="10" t="s">
        <v>106</v>
      </c>
    </row>
    <row r="49" customFormat="false" ht="15" hidden="false" customHeight="true" outlineLevel="0" collapsed="false">
      <c r="A49" s="9" t="s">
        <v>171</v>
      </c>
      <c r="B49" s="9" t="s">
        <v>38</v>
      </c>
      <c r="C49" s="9" t="s">
        <v>24</v>
      </c>
      <c r="D49" s="9" t="s">
        <v>165</v>
      </c>
      <c r="E49" s="9" t="s">
        <v>172</v>
      </c>
      <c r="F49" s="9" t="s">
        <v>27</v>
      </c>
      <c r="G49" s="9" t="s">
        <v>41</v>
      </c>
      <c r="H49" s="9"/>
      <c r="I49" s="9" t="s">
        <v>173</v>
      </c>
      <c r="J49" s="10" t="s">
        <v>64</v>
      </c>
      <c r="K49" s="10" t="s">
        <v>44</v>
      </c>
      <c r="L49" s="10"/>
    </row>
    <row r="50" customFormat="false" ht="15" hidden="false" customHeight="true" outlineLevel="0" collapsed="false">
      <c r="A50" s="9" t="s">
        <v>174</v>
      </c>
      <c r="B50" s="9" t="s">
        <v>38</v>
      </c>
      <c r="C50" s="9" t="s">
        <v>24</v>
      </c>
      <c r="D50" s="9" t="s">
        <v>165</v>
      </c>
      <c r="E50" s="9" t="s">
        <v>175</v>
      </c>
      <c r="F50" s="9" t="s">
        <v>55</v>
      </c>
      <c r="G50" s="9" t="s">
        <v>28</v>
      </c>
      <c r="H50" s="9"/>
      <c r="I50" s="9" t="s">
        <v>176</v>
      </c>
      <c r="J50" s="10" t="s">
        <v>64</v>
      </c>
      <c r="K50" s="10" t="s">
        <v>44</v>
      </c>
      <c r="L50" s="10"/>
    </row>
    <row r="51" customFormat="false" ht="15" hidden="false" customHeight="true" outlineLevel="0" collapsed="false">
      <c r="A51" s="9" t="s">
        <v>177</v>
      </c>
      <c r="B51" s="9" t="s">
        <v>38</v>
      </c>
      <c r="C51" s="9" t="s">
        <v>24</v>
      </c>
      <c r="D51" s="9" t="s">
        <v>165</v>
      </c>
      <c r="E51" s="9" t="s">
        <v>178</v>
      </c>
      <c r="F51" s="9" t="s">
        <v>55</v>
      </c>
      <c r="G51" s="9" t="s">
        <v>41</v>
      </c>
      <c r="H51" s="9"/>
      <c r="I51" s="9" t="s">
        <v>179</v>
      </c>
      <c r="J51" s="10" t="s">
        <v>64</v>
      </c>
      <c r="K51" s="10" t="s">
        <v>44</v>
      </c>
      <c r="L51" s="10"/>
    </row>
    <row r="52" customFormat="false" ht="15" hidden="false" customHeight="true" outlineLevel="0" collapsed="false">
      <c r="A52" s="7" t="s">
        <v>180</v>
      </c>
      <c r="B52" s="7" t="s">
        <v>102</v>
      </c>
      <c r="C52" s="7" t="s">
        <v>24</v>
      </c>
      <c r="D52" s="7" t="s">
        <v>165</v>
      </c>
      <c r="E52" s="7" t="s">
        <v>181</v>
      </c>
      <c r="F52" s="7" t="s">
        <v>55</v>
      </c>
      <c r="G52" s="7" t="s">
        <v>28</v>
      </c>
      <c r="H52" s="7" t="s">
        <v>182</v>
      </c>
      <c r="I52" s="7" t="s">
        <v>183</v>
      </c>
      <c r="J52" s="10" t="s">
        <v>43</v>
      </c>
      <c r="K52" s="10"/>
      <c r="L52" s="10" t="s">
        <v>106</v>
      </c>
    </row>
    <row r="53" customFormat="false" ht="15" hidden="false" customHeight="true" outlineLevel="0" collapsed="false">
      <c r="A53" s="9" t="s">
        <v>184</v>
      </c>
      <c r="B53" s="9" t="s">
        <v>38</v>
      </c>
      <c r="C53" s="9" t="s">
        <v>24</v>
      </c>
      <c r="D53" s="9" t="s">
        <v>165</v>
      </c>
      <c r="E53" s="9" t="s">
        <v>185</v>
      </c>
      <c r="F53" s="9" t="s">
        <v>27</v>
      </c>
      <c r="G53" s="9" t="s">
        <v>28</v>
      </c>
      <c r="H53" s="9"/>
      <c r="I53" s="9" t="s">
        <v>186</v>
      </c>
      <c r="J53" s="10" t="s">
        <v>64</v>
      </c>
      <c r="K53" s="10" t="s">
        <v>44</v>
      </c>
      <c r="L53" s="10"/>
    </row>
    <row r="54" customFormat="false" ht="15" hidden="false" customHeight="true" outlineLevel="0" collapsed="false">
      <c r="A54" s="9" t="s">
        <v>187</v>
      </c>
      <c r="B54" s="9" t="s">
        <v>38</v>
      </c>
      <c r="C54" s="9" t="s">
        <v>24</v>
      </c>
      <c r="D54" s="9" t="s">
        <v>165</v>
      </c>
      <c r="E54" s="9" t="s">
        <v>188</v>
      </c>
      <c r="F54" s="9" t="s">
        <v>55</v>
      </c>
      <c r="G54" s="9" t="s">
        <v>41</v>
      </c>
      <c r="H54" s="9"/>
      <c r="I54" s="9" t="s">
        <v>189</v>
      </c>
      <c r="J54" s="10" t="s">
        <v>64</v>
      </c>
      <c r="K54" s="10" t="s">
        <v>44</v>
      </c>
      <c r="L54" s="10"/>
    </row>
    <row r="55" customFormat="false" ht="15" hidden="false" customHeight="true" outlineLevel="0" collapsed="false">
      <c r="A55" s="9" t="s">
        <v>190</v>
      </c>
      <c r="B55" s="9" t="s">
        <v>38</v>
      </c>
      <c r="C55" s="9" t="s">
        <v>24</v>
      </c>
      <c r="D55" s="9" t="s">
        <v>165</v>
      </c>
      <c r="E55" s="9" t="s">
        <v>191</v>
      </c>
      <c r="F55" s="9" t="s">
        <v>27</v>
      </c>
      <c r="G55" s="9" t="s">
        <v>28</v>
      </c>
      <c r="H55" s="9"/>
      <c r="I55" s="9" t="s">
        <v>192</v>
      </c>
      <c r="J55" s="10" t="s">
        <v>64</v>
      </c>
      <c r="K55" s="10" t="s">
        <v>44</v>
      </c>
      <c r="L55" s="10"/>
    </row>
    <row r="56" customFormat="false" ht="15" hidden="false" customHeight="true" outlineLevel="0" collapsed="false">
      <c r="A56" s="9" t="s">
        <v>193</v>
      </c>
      <c r="B56" s="9" t="s">
        <v>38</v>
      </c>
      <c r="C56" s="9" t="s">
        <v>24</v>
      </c>
      <c r="D56" s="9" t="s">
        <v>165</v>
      </c>
      <c r="E56" s="9" t="s">
        <v>194</v>
      </c>
      <c r="F56" s="9" t="s">
        <v>27</v>
      </c>
      <c r="G56" s="9" t="s">
        <v>28</v>
      </c>
      <c r="H56" s="9"/>
      <c r="I56" s="9" t="s">
        <v>195</v>
      </c>
      <c r="J56" s="10" t="s">
        <v>64</v>
      </c>
      <c r="K56" s="10" t="s">
        <v>44</v>
      </c>
      <c r="L56" s="10"/>
    </row>
    <row r="57" customFormat="false" ht="15" hidden="false" customHeight="true" outlineLevel="0" collapsed="false">
      <c r="A57" s="9" t="s">
        <v>196</v>
      </c>
      <c r="B57" s="9" t="s">
        <v>38</v>
      </c>
      <c r="C57" s="9" t="s">
        <v>24</v>
      </c>
      <c r="D57" s="9" t="s">
        <v>165</v>
      </c>
      <c r="E57" s="9" t="s">
        <v>197</v>
      </c>
      <c r="F57" s="9" t="s">
        <v>27</v>
      </c>
      <c r="G57" s="9" t="s">
        <v>28</v>
      </c>
      <c r="H57" s="9"/>
      <c r="I57" s="9" t="s">
        <v>198</v>
      </c>
      <c r="J57" s="10" t="s">
        <v>64</v>
      </c>
      <c r="K57" s="10" t="s">
        <v>44</v>
      </c>
      <c r="L57" s="10"/>
    </row>
    <row r="58" customFormat="false" ht="15" hidden="false" customHeight="true" outlineLevel="0" collapsed="false">
      <c r="A58" s="9" t="s">
        <v>199</v>
      </c>
      <c r="B58" s="9" t="s">
        <v>38</v>
      </c>
      <c r="C58" s="9" t="s">
        <v>24</v>
      </c>
      <c r="D58" s="9" t="s">
        <v>165</v>
      </c>
      <c r="E58" s="9" t="s">
        <v>200</v>
      </c>
      <c r="F58" s="9" t="s">
        <v>27</v>
      </c>
      <c r="G58" s="9" t="s">
        <v>28</v>
      </c>
      <c r="H58" s="9"/>
      <c r="I58" s="9" t="s">
        <v>201</v>
      </c>
      <c r="J58" s="10" t="s">
        <v>64</v>
      </c>
      <c r="K58" s="10" t="s">
        <v>44</v>
      </c>
      <c r="L58" s="10"/>
    </row>
    <row r="59" customFormat="false" ht="15" hidden="false" customHeight="true" outlineLevel="0" collapsed="false">
      <c r="A59" s="9" t="s">
        <v>202</v>
      </c>
      <c r="B59" s="9" t="s">
        <v>38</v>
      </c>
      <c r="C59" s="9" t="s">
        <v>24</v>
      </c>
      <c r="D59" s="9" t="s">
        <v>165</v>
      </c>
      <c r="E59" s="9" t="s">
        <v>203</v>
      </c>
      <c r="F59" s="9" t="s">
        <v>40</v>
      </c>
      <c r="G59" s="9" t="s">
        <v>28</v>
      </c>
      <c r="H59" s="9"/>
      <c r="I59" s="9" t="s">
        <v>204</v>
      </c>
      <c r="J59" s="10" t="s">
        <v>64</v>
      </c>
      <c r="K59" s="10" t="s">
        <v>44</v>
      </c>
      <c r="L59" s="10"/>
    </row>
    <row r="60" customFormat="false" ht="15" hidden="false" customHeight="true" outlineLevel="0" collapsed="false">
      <c r="A60" s="9" t="s">
        <v>205</v>
      </c>
      <c r="B60" s="9" t="s">
        <v>38</v>
      </c>
      <c r="C60" s="9" t="s">
        <v>24</v>
      </c>
      <c r="D60" s="9" t="s">
        <v>165</v>
      </c>
      <c r="E60" s="9" t="s">
        <v>206</v>
      </c>
      <c r="F60" s="9" t="s">
        <v>40</v>
      </c>
      <c r="G60" s="9" t="s">
        <v>28</v>
      </c>
      <c r="H60" s="9"/>
      <c r="I60" s="9" t="s">
        <v>207</v>
      </c>
      <c r="J60" s="10" t="s">
        <v>64</v>
      </c>
      <c r="K60" s="10" t="s">
        <v>44</v>
      </c>
      <c r="L60" s="10"/>
    </row>
    <row r="61" customFormat="false" ht="15" hidden="false" customHeight="true" outlineLevel="0" collapsed="false">
      <c r="A61" s="9" t="s">
        <v>208</v>
      </c>
      <c r="B61" s="9" t="s">
        <v>38</v>
      </c>
      <c r="C61" s="9" t="s">
        <v>24</v>
      </c>
      <c r="D61" s="9" t="s">
        <v>165</v>
      </c>
      <c r="E61" s="9" t="s">
        <v>209</v>
      </c>
      <c r="F61" s="9" t="s">
        <v>40</v>
      </c>
      <c r="G61" s="9" t="s">
        <v>41</v>
      </c>
      <c r="H61" s="9"/>
      <c r="I61" s="9" t="s">
        <v>210</v>
      </c>
      <c r="J61" s="10" t="s">
        <v>64</v>
      </c>
      <c r="K61" s="10" t="s">
        <v>44</v>
      </c>
      <c r="L61" s="10"/>
    </row>
    <row r="62" customFormat="false" ht="15" hidden="false" customHeight="true" outlineLevel="0" collapsed="false">
      <c r="A62" s="9" t="s">
        <v>211</v>
      </c>
      <c r="B62" s="9" t="s">
        <v>38</v>
      </c>
      <c r="C62" s="9" t="s">
        <v>212</v>
      </c>
      <c r="D62" s="9" t="s">
        <v>213</v>
      </c>
      <c r="E62" s="9" t="s">
        <v>214</v>
      </c>
      <c r="F62" s="9" t="s">
        <v>27</v>
      </c>
      <c r="G62" s="9" t="s">
        <v>28</v>
      </c>
      <c r="H62" s="9"/>
      <c r="I62" s="9" t="s">
        <v>215</v>
      </c>
      <c r="J62" s="10" t="s">
        <v>43</v>
      </c>
      <c r="K62" s="10" t="s">
        <v>44</v>
      </c>
      <c r="L62" s="10" t="s">
        <v>45</v>
      </c>
    </row>
    <row r="63" customFormat="false" ht="15" hidden="false" customHeight="true" outlineLevel="0" collapsed="false">
      <c r="A63" s="9" t="s">
        <v>216</v>
      </c>
      <c r="B63" s="9" t="s">
        <v>38</v>
      </c>
      <c r="C63" s="9" t="s">
        <v>212</v>
      </c>
      <c r="D63" s="9" t="s">
        <v>213</v>
      </c>
      <c r="E63" s="9" t="s">
        <v>217</v>
      </c>
      <c r="F63" s="9" t="s">
        <v>27</v>
      </c>
      <c r="G63" s="9" t="s">
        <v>28</v>
      </c>
      <c r="H63" s="9"/>
      <c r="I63" s="9" t="s">
        <v>218</v>
      </c>
      <c r="J63" s="10" t="s">
        <v>43</v>
      </c>
      <c r="K63" s="10" t="s">
        <v>44</v>
      </c>
      <c r="L63" s="10" t="s">
        <v>45</v>
      </c>
    </row>
    <row r="64" customFormat="false" ht="15" hidden="false" customHeight="true" outlineLevel="0" collapsed="false">
      <c r="A64" s="7" t="s">
        <v>219</v>
      </c>
      <c r="B64" s="7" t="s">
        <v>102</v>
      </c>
      <c r="C64" s="7" t="s">
        <v>212</v>
      </c>
      <c r="D64" s="7" t="s">
        <v>213</v>
      </c>
      <c r="E64" s="7" t="s">
        <v>220</v>
      </c>
      <c r="F64" s="7" t="s">
        <v>27</v>
      </c>
      <c r="G64" s="7" t="s">
        <v>41</v>
      </c>
      <c r="H64" s="7" t="s">
        <v>221</v>
      </c>
      <c r="I64" s="7" t="s">
        <v>222</v>
      </c>
      <c r="J64" s="10" t="s">
        <v>43</v>
      </c>
      <c r="K64" s="10"/>
      <c r="L64" s="10" t="s">
        <v>106</v>
      </c>
    </row>
    <row r="65" customFormat="false" ht="15" hidden="false" customHeight="true" outlineLevel="0" collapsed="false">
      <c r="A65" s="9" t="s">
        <v>223</v>
      </c>
      <c r="B65" s="9" t="s">
        <v>38</v>
      </c>
      <c r="C65" s="9" t="s">
        <v>212</v>
      </c>
      <c r="D65" s="9" t="s">
        <v>213</v>
      </c>
      <c r="E65" s="9" t="s">
        <v>224</v>
      </c>
      <c r="F65" s="9" t="s">
        <v>40</v>
      </c>
      <c r="G65" s="9" t="s">
        <v>28</v>
      </c>
      <c r="H65" s="9"/>
      <c r="I65" s="9" t="s">
        <v>225</v>
      </c>
      <c r="J65" s="10" t="s">
        <v>64</v>
      </c>
      <c r="K65" s="10" t="s">
        <v>44</v>
      </c>
      <c r="L65" s="10"/>
    </row>
    <row r="66" customFormat="false" ht="15" hidden="false" customHeight="true" outlineLevel="0" collapsed="false">
      <c r="A66" s="9" t="s">
        <v>226</v>
      </c>
      <c r="B66" s="9" t="s">
        <v>38</v>
      </c>
      <c r="C66" s="9" t="s">
        <v>212</v>
      </c>
      <c r="D66" s="9" t="s">
        <v>213</v>
      </c>
      <c r="E66" s="9" t="s">
        <v>227</v>
      </c>
      <c r="F66" s="9" t="s">
        <v>27</v>
      </c>
      <c r="G66" s="9" t="s">
        <v>28</v>
      </c>
      <c r="H66" s="9"/>
      <c r="I66" s="9" t="s">
        <v>228</v>
      </c>
      <c r="J66" s="10" t="s">
        <v>64</v>
      </c>
      <c r="K66" s="10" t="s">
        <v>44</v>
      </c>
      <c r="L66" s="10"/>
    </row>
    <row r="67" customFormat="false" ht="15" hidden="false" customHeight="true" outlineLevel="0" collapsed="false">
      <c r="A67" s="7" t="s">
        <v>229</v>
      </c>
      <c r="B67" s="7" t="s">
        <v>102</v>
      </c>
      <c r="C67" s="7" t="s">
        <v>212</v>
      </c>
      <c r="D67" s="7" t="s">
        <v>213</v>
      </c>
      <c r="E67" s="7" t="s">
        <v>230</v>
      </c>
      <c r="F67" s="7" t="s">
        <v>27</v>
      </c>
      <c r="G67" s="7" t="s">
        <v>41</v>
      </c>
      <c r="H67" s="7" t="s">
        <v>226</v>
      </c>
      <c r="I67" s="7" t="s">
        <v>231</v>
      </c>
      <c r="J67" s="10" t="s">
        <v>43</v>
      </c>
      <c r="K67" s="10"/>
      <c r="L67" s="10" t="s">
        <v>106</v>
      </c>
    </row>
    <row r="68" customFormat="false" ht="15" hidden="false" customHeight="true" outlineLevel="0" collapsed="false">
      <c r="A68" s="7" t="s">
        <v>232</v>
      </c>
      <c r="B68" s="7" t="s">
        <v>102</v>
      </c>
      <c r="C68" s="7" t="s">
        <v>212</v>
      </c>
      <c r="D68" s="7" t="s">
        <v>213</v>
      </c>
      <c r="E68" s="7" t="s">
        <v>233</v>
      </c>
      <c r="F68" s="7" t="s">
        <v>55</v>
      </c>
      <c r="G68" s="7" t="s">
        <v>41</v>
      </c>
      <c r="H68" s="7" t="s">
        <v>226</v>
      </c>
      <c r="I68" s="7" t="s">
        <v>231</v>
      </c>
      <c r="J68" s="10" t="s">
        <v>43</v>
      </c>
      <c r="K68" s="10"/>
      <c r="L68" s="10" t="s">
        <v>106</v>
      </c>
    </row>
    <row r="69" customFormat="false" ht="15" hidden="false" customHeight="true" outlineLevel="0" collapsed="false">
      <c r="A69" s="9" t="s">
        <v>234</v>
      </c>
      <c r="B69" s="9" t="s">
        <v>38</v>
      </c>
      <c r="C69" s="9" t="s">
        <v>212</v>
      </c>
      <c r="D69" s="9" t="s">
        <v>213</v>
      </c>
      <c r="E69" s="9" t="s">
        <v>235</v>
      </c>
      <c r="F69" s="9" t="s">
        <v>27</v>
      </c>
      <c r="G69" s="9" t="s">
        <v>28</v>
      </c>
      <c r="H69" s="9"/>
      <c r="I69" s="9" t="s">
        <v>236</v>
      </c>
      <c r="J69" s="10" t="s">
        <v>64</v>
      </c>
      <c r="K69" s="10" t="s">
        <v>44</v>
      </c>
      <c r="L69" s="10"/>
    </row>
    <row r="70" customFormat="false" ht="15" hidden="false" customHeight="true" outlineLevel="0" collapsed="false">
      <c r="A70" s="9" t="s">
        <v>237</v>
      </c>
      <c r="B70" s="9" t="s">
        <v>38</v>
      </c>
      <c r="C70" s="9" t="s">
        <v>212</v>
      </c>
      <c r="D70" s="9" t="s">
        <v>213</v>
      </c>
      <c r="E70" s="9" t="s">
        <v>238</v>
      </c>
      <c r="F70" s="9" t="s">
        <v>55</v>
      </c>
      <c r="G70" s="9" t="s">
        <v>41</v>
      </c>
      <c r="H70" s="9"/>
      <c r="I70" s="9" t="s">
        <v>239</v>
      </c>
      <c r="J70" s="10" t="s">
        <v>64</v>
      </c>
      <c r="K70" s="10" t="s">
        <v>44</v>
      </c>
      <c r="L70" s="10"/>
    </row>
    <row r="71" customFormat="false" ht="15" hidden="false" customHeight="true" outlineLevel="0" collapsed="false">
      <c r="A71" s="9" t="s">
        <v>240</v>
      </c>
      <c r="B71" s="9" t="s">
        <v>38</v>
      </c>
      <c r="C71" s="9" t="s">
        <v>212</v>
      </c>
      <c r="D71" s="9" t="s">
        <v>213</v>
      </c>
      <c r="E71" s="9" t="s">
        <v>241</v>
      </c>
      <c r="F71" s="9" t="s">
        <v>27</v>
      </c>
      <c r="G71" s="9" t="s">
        <v>28</v>
      </c>
      <c r="H71" s="9"/>
      <c r="I71" s="9" t="s">
        <v>242</v>
      </c>
      <c r="J71" s="10" t="s">
        <v>64</v>
      </c>
      <c r="K71" s="10" t="s">
        <v>44</v>
      </c>
      <c r="L71" s="10"/>
    </row>
    <row r="72" customFormat="false" ht="15" hidden="false" customHeight="true" outlineLevel="0" collapsed="false">
      <c r="A72" s="9" t="s">
        <v>243</v>
      </c>
      <c r="B72" s="9" t="s">
        <v>38</v>
      </c>
      <c r="C72" s="9" t="s">
        <v>212</v>
      </c>
      <c r="D72" s="9" t="s">
        <v>213</v>
      </c>
      <c r="E72" s="9" t="s">
        <v>244</v>
      </c>
      <c r="F72" s="9" t="s">
        <v>27</v>
      </c>
      <c r="G72" s="9" t="s">
        <v>28</v>
      </c>
      <c r="H72" s="9"/>
      <c r="I72" s="9" t="s">
        <v>245</v>
      </c>
      <c r="J72" s="10" t="s">
        <v>64</v>
      </c>
      <c r="K72" s="10" t="s">
        <v>44</v>
      </c>
      <c r="L72" s="10"/>
    </row>
    <row r="73" customFormat="false" ht="15" hidden="false" customHeight="true" outlineLevel="0" collapsed="false">
      <c r="A73" s="9" t="s">
        <v>246</v>
      </c>
      <c r="B73" s="9" t="s">
        <v>38</v>
      </c>
      <c r="C73" s="9" t="s">
        <v>212</v>
      </c>
      <c r="D73" s="9" t="s">
        <v>213</v>
      </c>
      <c r="E73" s="9" t="s">
        <v>247</v>
      </c>
      <c r="F73" s="9" t="s">
        <v>40</v>
      </c>
      <c r="G73" s="9" t="s">
        <v>41</v>
      </c>
      <c r="H73" s="9"/>
      <c r="I73" s="9" t="s">
        <v>248</v>
      </c>
      <c r="J73" s="10" t="s">
        <v>64</v>
      </c>
      <c r="K73" s="10" t="s">
        <v>44</v>
      </c>
      <c r="L73" s="10"/>
    </row>
    <row r="74" customFormat="false" ht="15" hidden="false" customHeight="true" outlineLevel="0" collapsed="false">
      <c r="A74" s="9" t="s">
        <v>249</v>
      </c>
      <c r="B74" s="9" t="s">
        <v>38</v>
      </c>
      <c r="C74" s="9" t="s">
        <v>212</v>
      </c>
      <c r="D74" s="9" t="s">
        <v>213</v>
      </c>
      <c r="E74" s="9" t="s">
        <v>250</v>
      </c>
      <c r="F74" s="9" t="s">
        <v>40</v>
      </c>
      <c r="G74" s="9" t="s">
        <v>28</v>
      </c>
      <c r="H74" s="9"/>
      <c r="I74" s="9" t="s">
        <v>251</v>
      </c>
      <c r="J74" s="10" t="s">
        <v>64</v>
      </c>
      <c r="K74" s="10" t="s">
        <v>44</v>
      </c>
      <c r="L74" s="10"/>
    </row>
    <row r="75" customFormat="false" ht="15" hidden="false" customHeight="true" outlineLevel="0" collapsed="false">
      <c r="A75" s="9" t="s">
        <v>252</v>
      </c>
      <c r="B75" s="9" t="s">
        <v>38</v>
      </c>
      <c r="C75" s="9" t="s">
        <v>212</v>
      </c>
      <c r="D75" s="9" t="s">
        <v>213</v>
      </c>
      <c r="E75" s="9" t="s">
        <v>253</v>
      </c>
      <c r="F75" s="9" t="s">
        <v>40</v>
      </c>
      <c r="G75" s="9" t="s">
        <v>28</v>
      </c>
      <c r="H75" s="9"/>
      <c r="I75" s="9" t="s">
        <v>254</v>
      </c>
      <c r="J75" s="10" t="s">
        <v>64</v>
      </c>
      <c r="K75" s="10" t="s">
        <v>44</v>
      </c>
      <c r="L75" s="10"/>
    </row>
    <row r="76" customFormat="false" ht="15" hidden="false" customHeight="true" outlineLevel="0" collapsed="false">
      <c r="A76" s="7" t="s">
        <v>255</v>
      </c>
      <c r="B76" s="7" t="s">
        <v>102</v>
      </c>
      <c r="C76" s="7" t="s">
        <v>212</v>
      </c>
      <c r="D76" s="7" t="s">
        <v>213</v>
      </c>
      <c r="E76" s="7" t="s">
        <v>256</v>
      </c>
      <c r="F76" s="7" t="s">
        <v>27</v>
      </c>
      <c r="G76" s="7" t="s">
        <v>41</v>
      </c>
      <c r="H76" s="7" t="s">
        <v>226</v>
      </c>
      <c r="I76" s="7" t="s">
        <v>231</v>
      </c>
      <c r="J76" s="10" t="s">
        <v>43</v>
      </c>
      <c r="K76" s="10"/>
      <c r="L76" s="10" t="s">
        <v>106</v>
      </c>
    </row>
    <row r="77" customFormat="false" ht="15" hidden="false" customHeight="true" outlineLevel="0" collapsed="false">
      <c r="A77" s="9" t="s">
        <v>257</v>
      </c>
      <c r="B77" s="9" t="s">
        <v>38</v>
      </c>
      <c r="C77" s="9" t="s">
        <v>212</v>
      </c>
      <c r="D77" s="9" t="s">
        <v>213</v>
      </c>
      <c r="E77" s="9" t="s">
        <v>258</v>
      </c>
      <c r="F77" s="9" t="s">
        <v>27</v>
      </c>
      <c r="G77" s="9" t="s">
        <v>41</v>
      </c>
      <c r="H77" s="9"/>
      <c r="I77" s="9" t="s">
        <v>259</v>
      </c>
      <c r="J77" s="10" t="s">
        <v>64</v>
      </c>
      <c r="K77" s="10" t="s">
        <v>44</v>
      </c>
      <c r="L77" s="10"/>
    </row>
    <row r="78" customFormat="false" ht="15" hidden="false" customHeight="true" outlineLevel="0" collapsed="false">
      <c r="A78" s="9" t="s">
        <v>260</v>
      </c>
      <c r="B78" s="9" t="s">
        <v>38</v>
      </c>
      <c r="C78" s="9" t="s">
        <v>212</v>
      </c>
      <c r="D78" s="9" t="s">
        <v>213</v>
      </c>
      <c r="E78" s="9" t="s">
        <v>261</v>
      </c>
      <c r="F78" s="9" t="s">
        <v>27</v>
      </c>
      <c r="G78" s="9" t="s">
        <v>41</v>
      </c>
      <c r="H78" s="9"/>
      <c r="I78" s="9" t="s">
        <v>262</v>
      </c>
      <c r="J78" s="10" t="s">
        <v>64</v>
      </c>
      <c r="K78" s="10" t="s">
        <v>44</v>
      </c>
      <c r="L78" s="10"/>
    </row>
    <row r="79" customFormat="false" ht="15" hidden="false" customHeight="true" outlineLevel="0" collapsed="false">
      <c r="A79" s="9" t="s">
        <v>263</v>
      </c>
      <c r="B79" s="9" t="s">
        <v>38</v>
      </c>
      <c r="C79" s="9" t="s">
        <v>212</v>
      </c>
      <c r="D79" s="9" t="s">
        <v>213</v>
      </c>
      <c r="E79" s="9" t="s">
        <v>264</v>
      </c>
      <c r="F79" s="9" t="s">
        <v>50</v>
      </c>
      <c r="G79" s="9" t="s">
        <v>28</v>
      </c>
      <c r="H79" s="9"/>
      <c r="I79" s="9" t="s">
        <v>265</v>
      </c>
      <c r="J79" s="10" t="s">
        <v>64</v>
      </c>
      <c r="K79" s="10" t="s">
        <v>44</v>
      </c>
      <c r="L79" s="10"/>
    </row>
    <row r="80" customFormat="false" ht="15" hidden="false" customHeight="true" outlineLevel="0" collapsed="false">
      <c r="A80" s="9" t="s">
        <v>266</v>
      </c>
      <c r="B80" s="9" t="s">
        <v>38</v>
      </c>
      <c r="C80" s="9" t="s">
        <v>267</v>
      </c>
      <c r="D80" s="9" t="s">
        <v>268</v>
      </c>
      <c r="E80" s="9" t="s">
        <v>266</v>
      </c>
      <c r="F80" s="9" t="s">
        <v>40</v>
      </c>
      <c r="G80" s="9" t="s">
        <v>28</v>
      </c>
      <c r="H80" s="9"/>
      <c r="I80" s="9" t="s">
        <v>269</v>
      </c>
      <c r="J80" s="10" t="s">
        <v>43</v>
      </c>
      <c r="K80" s="10" t="s">
        <v>44</v>
      </c>
      <c r="L80" s="10" t="s">
        <v>45</v>
      </c>
    </row>
    <row r="81" customFormat="false" ht="15" hidden="false" customHeight="true" outlineLevel="0" collapsed="false">
      <c r="A81" s="9" t="s">
        <v>270</v>
      </c>
      <c r="B81" s="9" t="s">
        <v>38</v>
      </c>
      <c r="C81" s="9" t="s">
        <v>267</v>
      </c>
      <c r="D81" s="9" t="s">
        <v>268</v>
      </c>
      <c r="E81" s="9" t="s">
        <v>270</v>
      </c>
      <c r="F81" s="9" t="s">
        <v>27</v>
      </c>
      <c r="G81" s="9" t="s">
        <v>28</v>
      </c>
      <c r="H81" s="9"/>
      <c r="I81" s="9" t="s">
        <v>271</v>
      </c>
      <c r="J81" s="10" t="s">
        <v>64</v>
      </c>
      <c r="K81" s="10" t="s">
        <v>44</v>
      </c>
      <c r="L81" s="10"/>
    </row>
    <row r="82" customFormat="false" ht="15" hidden="false" customHeight="true" outlineLevel="0" collapsed="false">
      <c r="A82" s="9" t="s">
        <v>272</v>
      </c>
      <c r="B82" s="9" t="s">
        <v>38</v>
      </c>
      <c r="C82" s="9" t="s">
        <v>267</v>
      </c>
      <c r="D82" s="9" t="s">
        <v>268</v>
      </c>
      <c r="E82" s="9" t="s">
        <v>272</v>
      </c>
      <c r="F82" s="9" t="s">
        <v>55</v>
      </c>
      <c r="G82" s="9" t="s">
        <v>28</v>
      </c>
      <c r="H82" s="9"/>
      <c r="I82" s="9" t="s">
        <v>273</v>
      </c>
      <c r="J82" s="10" t="s">
        <v>64</v>
      </c>
      <c r="K82" s="10" t="s">
        <v>44</v>
      </c>
      <c r="L82" s="10"/>
    </row>
    <row r="83" customFormat="false" ht="15" hidden="false" customHeight="true" outlineLevel="0" collapsed="false">
      <c r="A83" s="9" t="s">
        <v>274</v>
      </c>
      <c r="B83" s="9" t="s">
        <v>38</v>
      </c>
      <c r="C83" s="9" t="s">
        <v>267</v>
      </c>
      <c r="D83" s="9" t="s">
        <v>268</v>
      </c>
      <c r="E83" s="9" t="s">
        <v>274</v>
      </c>
      <c r="F83" s="9" t="s">
        <v>40</v>
      </c>
      <c r="G83" s="9" t="s">
        <v>41</v>
      </c>
      <c r="H83" s="9"/>
      <c r="I83" s="9" t="s">
        <v>275</v>
      </c>
      <c r="J83" s="10" t="s">
        <v>64</v>
      </c>
      <c r="K83" s="10" t="s">
        <v>44</v>
      </c>
      <c r="L83" s="10"/>
    </row>
    <row r="84" customFormat="false" ht="15" hidden="false" customHeight="true" outlineLevel="0" collapsed="false">
      <c r="A84" s="9" t="s">
        <v>276</v>
      </c>
      <c r="B84" s="9" t="s">
        <v>38</v>
      </c>
      <c r="C84" s="9" t="s">
        <v>267</v>
      </c>
      <c r="D84" s="9" t="s">
        <v>268</v>
      </c>
      <c r="E84" s="9" t="s">
        <v>276</v>
      </c>
      <c r="F84" s="9" t="s">
        <v>27</v>
      </c>
      <c r="G84" s="9" t="s">
        <v>41</v>
      </c>
      <c r="H84" s="9"/>
      <c r="I84" s="9" t="s">
        <v>277</v>
      </c>
      <c r="J84" s="10" t="s">
        <v>64</v>
      </c>
      <c r="K84" s="10" t="s">
        <v>44</v>
      </c>
      <c r="L84" s="10"/>
    </row>
  </sheetData>
  <autoFilter ref="A1:L84"/>
  <conditionalFormatting sqref="J2:J84">
    <cfRule type="cellIs" priority="2" operator="equal" aboveAverage="0" equalAverage="0" bottom="0" percent="0" rank="0" text="" dxfId="7">
      <formula>"confirmado"</formula>
    </cfRule>
    <cfRule type="cellIs" priority="3" operator="equal" aboveAverage="0" equalAverage="0" bottom="0" percent="0" rank="0" text="" dxfId="8">
      <formula>"falso_positivo"</formula>
    </cfRule>
  </conditionalFormatting>
  <dataValidations count="1">
    <dataValidation allowBlank="false" error="Elige: pendiente, confirmado o falso_positivo" errorStyle="stop" errorTitle="Valor no válido" operator="between" showDropDown="false" showErrorMessage="true" showInputMessage="false" sqref="J2:J84" type="list">
      <formula1>"pendiente,confirmado,falso_positivo"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7"/>
    <col collapsed="false" customWidth="true" hidden="false" outlineLevel="0" max="4" min="4" style="1" width="9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60"/>
    <col collapsed="false" customWidth="true" hidden="false" outlineLevel="0" max="10" min="10" style="1" width="14"/>
  </cols>
  <sheetData>
    <row r="1" customFormat="false" ht="15" hidden="false" customHeight="true" outlineLevel="0" collapsed="false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22</v>
      </c>
    </row>
    <row r="2" customFormat="false" ht="15" hidden="false" customHeight="true" outlineLevel="0" collapsed="false">
      <c r="A2" s="7" t="s">
        <v>23</v>
      </c>
      <c r="B2" s="10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G2" s="10" t="s">
        <v>29</v>
      </c>
      <c r="H2" s="10" t="s">
        <v>30</v>
      </c>
      <c r="I2" s="10" t="s">
        <v>278</v>
      </c>
      <c r="J2" s="10" t="s">
        <v>44</v>
      </c>
    </row>
    <row r="3" customFormat="false" ht="15" hidden="false" customHeight="true" outlineLevel="0" collapsed="false">
      <c r="A3" s="7" t="s">
        <v>279</v>
      </c>
      <c r="B3" s="10" t="s">
        <v>24</v>
      </c>
      <c r="C3" s="10" t="s">
        <v>165</v>
      </c>
      <c r="D3" s="10" t="s">
        <v>172</v>
      </c>
      <c r="E3" s="10" t="s">
        <v>55</v>
      </c>
      <c r="F3" s="10" t="s">
        <v>41</v>
      </c>
      <c r="G3" s="10" t="s">
        <v>280</v>
      </c>
      <c r="H3" s="10" t="s">
        <v>281</v>
      </c>
      <c r="I3" s="10" t="s">
        <v>282</v>
      </c>
      <c r="J3" s="10" t="s">
        <v>44</v>
      </c>
    </row>
    <row r="4" customFormat="false" ht="15" hidden="false" customHeight="true" outlineLevel="0" collapsed="false">
      <c r="A4" s="7" t="s">
        <v>283</v>
      </c>
      <c r="B4" s="10" t="s">
        <v>24</v>
      </c>
      <c r="C4" s="10" t="s">
        <v>118</v>
      </c>
      <c r="D4" s="10" t="s">
        <v>129</v>
      </c>
      <c r="E4" s="10" t="s">
        <v>27</v>
      </c>
      <c r="F4" s="10" t="s">
        <v>28</v>
      </c>
      <c r="G4" s="10" t="s">
        <v>284</v>
      </c>
      <c r="H4" s="10"/>
      <c r="I4" s="10" t="s">
        <v>285</v>
      </c>
      <c r="J4" s="10" t="s">
        <v>44</v>
      </c>
    </row>
    <row r="5" customFormat="false" ht="15" hidden="false" customHeight="true" outlineLevel="0" collapsed="false">
      <c r="A5" s="7" t="s">
        <v>286</v>
      </c>
      <c r="B5" s="10" t="s">
        <v>24</v>
      </c>
      <c r="C5" s="10" t="s">
        <v>95</v>
      </c>
      <c r="D5" s="10" t="s">
        <v>108</v>
      </c>
      <c r="E5" s="10" t="s">
        <v>40</v>
      </c>
      <c r="F5" s="10" t="s">
        <v>41</v>
      </c>
      <c r="G5" s="10" t="s">
        <v>284</v>
      </c>
      <c r="H5" s="10"/>
      <c r="I5" s="10" t="s">
        <v>287</v>
      </c>
      <c r="J5" s="10" t="s">
        <v>44</v>
      </c>
    </row>
    <row r="6" customFormat="false" ht="15" hidden="false" customHeight="true" outlineLevel="0" collapsed="false">
      <c r="A6" s="7" t="s">
        <v>288</v>
      </c>
      <c r="B6" s="10" t="s">
        <v>212</v>
      </c>
      <c r="C6" s="10" t="s">
        <v>213</v>
      </c>
      <c r="D6" s="10" t="s">
        <v>235</v>
      </c>
      <c r="E6" s="10" t="s">
        <v>27</v>
      </c>
      <c r="F6" s="10" t="s">
        <v>28</v>
      </c>
      <c r="G6" s="10" t="s">
        <v>289</v>
      </c>
      <c r="H6" s="10"/>
      <c r="I6" s="10" t="s">
        <v>290</v>
      </c>
      <c r="J6" s="10" t="s">
        <v>44</v>
      </c>
    </row>
    <row r="7" customFormat="false" ht="15" hidden="false" customHeight="true" outlineLevel="0" collapsed="false">
      <c r="A7" s="7" t="s">
        <v>291</v>
      </c>
      <c r="B7" s="10" t="s">
        <v>212</v>
      </c>
      <c r="C7" s="10" t="s">
        <v>213</v>
      </c>
      <c r="D7" s="10" t="s">
        <v>253</v>
      </c>
      <c r="E7" s="10" t="s">
        <v>40</v>
      </c>
      <c r="F7" s="10" t="s">
        <v>41</v>
      </c>
      <c r="G7" s="10" t="s">
        <v>292</v>
      </c>
      <c r="H7" s="10"/>
      <c r="I7" s="10" t="s">
        <v>293</v>
      </c>
      <c r="J7" s="10" t="s">
        <v>44</v>
      </c>
    </row>
    <row r="8" customFormat="false" ht="15" hidden="false" customHeight="true" outlineLevel="0" collapsed="false">
      <c r="A8" s="7" t="s">
        <v>294</v>
      </c>
      <c r="B8" s="10" t="s">
        <v>267</v>
      </c>
      <c r="C8" s="10" t="s">
        <v>268</v>
      </c>
      <c r="D8" s="10" t="s">
        <v>270</v>
      </c>
      <c r="E8" s="10" t="s">
        <v>50</v>
      </c>
      <c r="F8" s="10" t="s">
        <v>41</v>
      </c>
      <c r="G8" s="10" t="s">
        <v>295</v>
      </c>
      <c r="H8" s="10"/>
      <c r="I8" s="10" t="s">
        <v>296</v>
      </c>
      <c r="J8" s="10" t="s">
        <v>44</v>
      </c>
    </row>
    <row r="9" customFormat="false" ht="15" hidden="false" customHeight="true" outlineLevel="0" collapsed="false">
      <c r="A9" s="7" t="s">
        <v>297</v>
      </c>
      <c r="B9" s="10"/>
      <c r="C9" s="10"/>
      <c r="D9" s="10"/>
      <c r="E9" s="10"/>
      <c r="F9" s="10"/>
      <c r="G9" s="10"/>
      <c r="H9" s="10"/>
      <c r="I9" s="10"/>
      <c r="J9" s="10"/>
    </row>
    <row r="10" customFormat="false" ht="15" hidden="false" customHeight="true" outlineLevel="0" collapsed="false">
      <c r="A10" s="7" t="s">
        <v>298</v>
      </c>
      <c r="B10" s="10"/>
      <c r="C10" s="10"/>
      <c r="D10" s="10"/>
      <c r="E10" s="10"/>
      <c r="F10" s="10"/>
      <c r="G10" s="10"/>
      <c r="H10" s="10"/>
      <c r="I10" s="10"/>
      <c r="J10" s="10"/>
    </row>
    <row r="11" customFormat="false" ht="15" hidden="false" customHeight="true" outlineLevel="0" collapsed="false">
      <c r="A11" s="7" t="s">
        <v>299</v>
      </c>
      <c r="B11" s="10"/>
      <c r="C11" s="10"/>
      <c r="D11" s="10"/>
      <c r="E11" s="10"/>
      <c r="F11" s="10"/>
      <c r="G11" s="10"/>
      <c r="H11" s="10"/>
      <c r="I11" s="10"/>
      <c r="J11" s="10"/>
    </row>
    <row r="12" customFormat="false" ht="15" hidden="false" customHeight="true" outlineLevel="0" collapsed="false">
      <c r="A12" s="7" t="s">
        <v>300</v>
      </c>
      <c r="B12" s="10"/>
      <c r="C12" s="10"/>
      <c r="D12" s="10"/>
      <c r="E12" s="10"/>
      <c r="F12" s="10"/>
      <c r="G12" s="10"/>
      <c r="H12" s="10"/>
      <c r="I12" s="10"/>
      <c r="J12" s="10"/>
    </row>
    <row r="13" customFormat="false" ht="15" hidden="false" customHeight="true" outlineLevel="0" collapsed="false">
      <c r="A13" s="7" t="s">
        <v>301</v>
      </c>
      <c r="B13" s="10"/>
      <c r="C13" s="10"/>
      <c r="D13" s="10"/>
      <c r="E13" s="10"/>
      <c r="F13" s="10"/>
      <c r="G13" s="10"/>
      <c r="H13" s="10"/>
      <c r="I13" s="10"/>
      <c r="J13" s="10"/>
    </row>
    <row r="14" customFormat="false" ht="15" hidden="false" customHeight="true" outlineLevel="0" collapsed="false">
      <c r="A14" s="7" t="s">
        <v>302</v>
      </c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15" hidden="false" customHeight="true" outlineLevel="0" collapsed="false">
      <c r="A15" s="7" t="s">
        <v>303</v>
      </c>
      <c r="B15" s="10"/>
      <c r="C15" s="10"/>
      <c r="D15" s="10"/>
      <c r="E15" s="10"/>
      <c r="F15" s="10"/>
      <c r="G15" s="10"/>
      <c r="H15" s="10"/>
      <c r="I15" s="10"/>
      <c r="J15" s="10"/>
    </row>
    <row r="16" customFormat="false" ht="15" hidden="false" customHeight="true" outlineLevel="0" collapsed="false">
      <c r="A16" s="7" t="s">
        <v>304</v>
      </c>
      <c r="B16" s="10"/>
      <c r="C16" s="10"/>
      <c r="D16" s="10"/>
      <c r="E16" s="10"/>
      <c r="F16" s="10"/>
      <c r="G16" s="10"/>
      <c r="H16" s="10"/>
      <c r="I16" s="10"/>
      <c r="J16" s="10"/>
    </row>
    <row r="17" customFormat="false" ht="15" hidden="false" customHeight="true" outlineLevel="0" collapsed="false">
      <c r="A17" s="7" t="s">
        <v>305</v>
      </c>
      <c r="B17" s="10"/>
      <c r="C17" s="10"/>
      <c r="D17" s="10"/>
      <c r="E17" s="10"/>
      <c r="F17" s="10"/>
      <c r="G17" s="10"/>
      <c r="H17" s="10"/>
      <c r="I17" s="10"/>
      <c r="J17" s="10"/>
    </row>
    <row r="18" customFormat="false" ht="15" hidden="false" customHeight="true" outlineLevel="0" collapsed="false">
      <c r="A18" s="7" t="s">
        <v>306</v>
      </c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15" hidden="false" customHeight="true" outlineLevel="0" collapsed="false">
      <c r="A19" s="7" t="s">
        <v>307</v>
      </c>
      <c r="B19" s="10"/>
      <c r="C19" s="10"/>
      <c r="D19" s="10"/>
      <c r="E19" s="10"/>
      <c r="F19" s="10"/>
      <c r="G19" s="10"/>
      <c r="H19" s="10"/>
      <c r="I19" s="10"/>
      <c r="J19" s="10"/>
    </row>
    <row r="20" customFormat="false" ht="15" hidden="false" customHeight="true" outlineLevel="0" collapsed="false">
      <c r="A20" s="7" t="s">
        <v>308</v>
      </c>
      <c r="B20" s="10"/>
      <c r="C20" s="10"/>
      <c r="D20" s="10"/>
      <c r="E20" s="10"/>
      <c r="F20" s="10"/>
      <c r="G20" s="10"/>
      <c r="H20" s="10"/>
      <c r="I20" s="10"/>
      <c r="J20" s="10"/>
    </row>
    <row r="21" customFormat="false" ht="15" hidden="false" customHeight="true" outlineLevel="0" collapsed="false">
      <c r="A21" s="7" t="s">
        <v>309</v>
      </c>
      <c r="B21" s="10"/>
      <c r="C21" s="10"/>
      <c r="D21" s="10"/>
      <c r="E21" s="10"/>
      <c r="F21" s="10"/>
      <c r="G21" s="10"/>
      <c r="H21" s="10"/>
      <c r="I21" s="10"/>
      <c r="J21" s="10"/>
    </row>
    <row r="22" customFormat="false" ht="15" hidden="false" customHeight="true" outlineLevel="0" collapsed="false">
      <c r="A22" s="7" t="s">
        <v>310</v>
      </c>
      <c r="B22" s="10"/>
      <c r="C22" s="10"/>
      <c r="D22" s="10"/>
      <c r="E22" s="10"/>
      <c r="F22" s="10"/>
      <c r="G22" s="10"/>
      <c r="H22" s="10"/>
      <c r="I22" s="10"/>
      <c r="J22" s="10"/>
    </row>
    <row r="23" customFormat="false" ht="15" hidden="false" customHeight="true" outlineLevel="0" collapsed="false">
      <c r="A23" s="7" t="s">
        <v>311</v>
      </c>
      <c r="B23" s="10"/>
      <c r="C23" s="10"/>
      <c r="D23" s="10"/>
      <c r="E23" s="10"/>
      <c r="F23" s="10"/>
      <c r="G23" s="10"/>
      <c r="H23" s="10"/>
      <c r="I23" s="10"/>
      <c r="J23" s="10"/>
    </row>
    <row r="24" customFormat="false" ht="15" hidden="false" customHeight="true" outlineLevel="0" collapsed="false">
      <c r="A24" s="7" t="s">
        <v>312</v>
      </c>
      <c r="B24" s="10"/>
      <c r="C24" s="10"/>
      <c r="D24" s="10"/>
      <c r="E24" s="10"/>
      <c r="F24" s="10"/>
      <c r="G24" s="10"/>
      <c r="H24" s="10"/>
      <c r="I24" s="10"/>
      <c r="J24" s="10"/>
    </row>
    <row r="25" customFormat="false" ht="15" hidden="false" customHeight="true" outlineLevel="0" collapsed="false">
      <c r="A25" s="7" t="s">
        <v>313</v>
      </c>
      <c r="B25" s="10"/>
      <c r="C25" s="10"/>
      <c r="D25" s="10"/>
      <c r="E25" s="10"/>
      <c r="F25" s="10"/>
      <c r="G25" s="10"/>
      <c r="H25" s="10"/>
      <c r="I25" s="10"/>
      <c r="J25" s="10"/>
    </row>
    <row r="26" customFormat="false" ht="15" hidden="false" customHeight="true" outlineLevel="0" collapsed="false">
      <c r="A26" s="7" t="s">
        <v>314</v>
      </c>
      <c r="B26" s="10"/>
      <c r="C26" s="10"/>
      <c r="D26" s="10"/>
      <c r="E26" s="10"/>
      <c r="F26" s="10"/>
      <c r="G26" s="10"/>
      <c r="H26" s="10"/>
      <c r="I26" s="10"/>
      <c r="J26" s="10"/>
    </row>
    <row r="27" customFormat="false" ht="15" hidden="false" customHeight="true" outlineLevel="0" collapsed="false">
      <c r="A27" s="7" t="s">
        <v>315</v>
      </c>
      <c r="B27" s="10"/>
      <c r="C27" s="10"/>
      <c r="D27" s="10"/>
      <c r="E27" s="10"/>
      <c r="F27" s="10"/>
      <c r="G27" s="10"/>
      <c r="H27" s="10"/>
      <c r="I27" s="10"/>
      <c r="J27" s="10"/>
    </row>
    <row r="28" customFormat="false" ht="15" hidden="false" customHeight="true" outlineLevel="0" collapsed="false">
      <c r="A28" s="7" t="s">
        <v>316</v>
      </c>
      <c r="B28" s="10"/>
      <c r="C28" s="10"/>
      <c r="D28" s="10"/>
      <c r="E28" s="10"/>
      <c r="F28" s="10"/>
      <c r="G28" s="10"/>
      <c r="H28" s="10"/>
      <c r="I28" s="10"/>
      <c r="J28" s="10"/>
    </row>
    <row r="29" customFormat="false" ht="15" hidden="false" customHeight="true" outlineLevel="0" collapsed="false">
      <c r="A29" s="7" t="s">
        <v>317</v>
      </c>
      <c r="B29" s="10"/>
      <c r="C29" s="10"/>
      <c r="D29" s="10"/>
      <c r="E29" s="10"/>
      <c r="F29" s="10"/>
      <c r="G29" s="10"/>
      <c r="H29" s="10"/>
      <c r="I29" s="10"/>
      <c r="J29" s="10"/>
    </row>
    <row r="30" customFormat="false" ht="15" hidden="false" customHeight="true" outlineLevel="0" collapsed="false">
      <c r="A30" s="7" t="s">
        <v>318</v>
      </c>
      <c r="B30" s="10"/>
      <c r="C30" s="10"/>
      <c r="D30" s="10"/>
      <c r="E30" s="10"/>
      <c r="F30" s="10"/>
      <c r="G30" s="10"/>
      <c r="H30" s="10"/>
      <c r="I30" s="10"/>
      <c r="J30" s="10"/>
    </row>
    <row r="31" customFormat="false" ht="15" hidden="false" customHeight="true" outlineLevel="0" collapsed="false">
      <c r="A31" s="7" t="s">
        <v>319</v>
      </c>
      <c r="B31" s="10"/>
      <c r="C31" s="10"/>
      <c r="D31" s="10"/>
      <c r="E31" s="10"/>
      <c r="F31" s="10"/>
      <c r="G31" s="10"/>
      <c r="H31" s="10"/>
      <c r="I31" s="10"/>
      <c r="J31" s="10"/>
    </row>
    <row r="32" customFormat="false" ht="15" hidden="false" customHeight="true" outlineLevel="0" collapsed="false">
      <c r="A32" s="7" t="s">
        <v>320</v>
      </c>
      <c r="B32" s="10"/>
      <c r="C32" s="10"/>
      <c r="D32" s="10"/>
      <c r="E32" s="10"/>
      <c r="F32" s="10"/>
      <c r="G32" s="10"/>
      <c r="H32" s="10"/>
      <c r="I32" s="10"/>
      <c r="J32" s="10"/>
    </row>
    <row r="33" customFormat="false" ht="15" hidden="false" customHeight="true" outlineLevel="0" collapsed="false">
      <c r="A33" s="7" t="s">
        <v>321</v>
      </c>
      <c r="B33" s="10"/>
      <c r="C33" s="10"/>
      <c r="D33" s="10"/>
      <c r="E33" s="10"/>
      <c r="F33" s="10"/>
      <c r="G33" s="10"/>
      <c r="H33" s="10"/>
      <c r="I33" s="10"/>
      <c r="J33" s="10"/>
    </row>
    <row r="34" customFormat="false" ht="15" hidden="false" customHeight="true" outlineLevel="0" collapsed="false">
      <c r="A34" s="7" t="s">
        <v>322</v>
      </c>
      <c r="B34" s="10"/>
      <c r="C34" s="10"/>
      <c r="D34" s="10"/>
      <c r="E34" s="10"/>
      <c r="F34" s="10"/>
      <c r="G34" s="10"/>
      <c r="H34" s="10"/>
      <c r="I34" s="10"/>
      <c r="J34" s="10"/>
    </row>
    <row r="35" customFormat="false" ht="15" hidden="false" customHeight="true" outlineLevel="0" collapsed="false">
      <c r="A35" s="7" t="s">
        <v>323</v>
      </c>
      <c r="B35" s="10"/>
      <c r="C35" s="10"/>
      <c r="D35" s="10"/>
      <c r="E35" s="10"/>
      <c r="F35" s="10"/>
      <c r="G35" s="10"/>
      <c r="H35" s="10"/>
      <c r="I35" s="10"/>
      <c r="J35" s="10"/>
    </row>
    <row r="36" customFormat="false" ht="15" hidden="false" customHeight="true" outlineLevel="0" collapsed="false">
      <c r="A36" s="7" t="s">
        <v>324</v>
      </c>
      <c r="B36" s="10"/>
      <c r="C36" s="10"/>
      <c r="D36" s="10"/>
      <c r="E36" s="10"/>
      <c r="F36" s="10"/>
      <c r="G36" s="10"/>
      <c r="H36" s="10"/>
      <c r="I36" s="10"/>
      <c r="J36" s="10"/>
    </row>
    <row r="37" customFormat="false" ht="15" hidden="false" customHeight="true" outlineLevel="0" collapsed="false">
      <c r="A37" s="7" t="s">
        <v>325</v>
      </c>
      <c r="B37" s="10"/>
      <c r="C37" s="10"/>
      <c r="D37" s="10"/>
      <c r="E37" s="10"/>
      <c r="F37" s="10"/>
      <c r="G37" s="10"/>
      <c r="H37" s="10"/>
      <c r="I37" s="10"/>
      <c r="J37" s="10"/>
    </row>
    <row r="38" customFormat="false" ht="15" hidden="false" customHeight="true" outlineLevel="0" collapsed="false">
      <c r="A38" s="7" t="s">
        <v>326</v>
      </c>
      <c r="B38" s="10"/>
      <c r="C38" s="10"/>
      <c r="D38" s="10"/>
      <c r="E38" s="10"/>
      <c r="F38" s="10"/>
      <c r="G38" s="10"/>
      <c r="H38" s="10"/>
      <c r="I38" s="10"/>
      <c r="J38" s="10"/>
    </row>
    <row r="39" customFormat="false" ht="15" hidden="false" customHeight="true" outlineLevel="0" collapsed="false">
      <c r="A39" s="7" t="s">
        <v>327</v>
      </c>
      <c r="B39" s="10"/>
      <c r="C39" s="10"/>
      <c r="D39" s="10"/>
      <c r="E39" s="10"/>
      <c r="F39" s="10"/>
      <c r="G39" s="10"/>
      <c r="H39" s="10"/>
      <c r="I39" s="10"/>
      <c r="J39" s="10"/>
    </row>
    <row r="40" customFormat="false" ht="15" hidden="false" customHeight="true" outlineLevel="0" collapsed="false">
      <c r="A40" s="7" t="s">
        <v>328</v>
      </c>
      <c r="B40" s="10"/>
      <c r="C40" s="10"/>
      <c r="D40" s="10"/>
      <c r="E40" s="10"/>
      <c r="F40" s="10"/>
      <c r="G40" s="10"/>
      <c r="H40" s="10"/>
      <c r="I40" s="10"/>
      <c r="J40" s="10"/>
    </row>
    <row r="41" customFormat="false" ht="15" hidden="false" customHeight="true" outlineLevel="0" collapsed="false">
      <c r="A41" s="7" t="s">
        <v>329</v>
      </c>
      <c r="B41" s="10"/>
      <c r="C41" s="10"/>
      <c r="D41" s="10"/>
      <c r="E41" s="10"/>
      <c r="F41" s="10"/>
      <c r="G41" s="10"/>
      <c r="H41" s="10"/>
      <c r="I41" s="10"/>
      <c r="J41" s="10"/>
    </row>
    <row r="42" customFormat="false" ht="15" hidden="false" customHeight="true" outlineLevel="0" collapsed="false">
      <c r="A42" s="7" t="s">
        <v>330</v>
      </c>
      <c r="B42" s="10"/>
      <c r="C42" s="10"/>
      <c r="D42" s="10"/>
      <c r="E42" s="10"/>
      <c r="F42" s="10"/>
      <c r="G42" s="10"/>
      <c r="H42" s="10"/>
      <c r="I42" s="10"/>
      <c r="J42" s="10"/>
    </row>
    <row r="43" customFormat="false" ht="15" hidden="false" customHeight="true" outlineLevel="0" collapsed="false">
      <c r="A43" s="7" t="s">
        <v>331</v>
      </c>
      <c r="B43" s="10"/>
      <c r="C43" s="10"/>
      <c r="D43" s="10"/>
      <c r="E43" s="10"/>
      <c r="F43" s="10"/>
      <c r="G43" s="10"/>
      <c r="H43" s="10"/>
      <c r="I43" s="10"/>
      <c r="J43" s="10"/>
    </row>
    <row r="44" customFormat="false" ht="15" hidden="false" customHeight="true" outlineLevel="0" collapsed="false">
      <c r="A44" s="7" t="s">
        <v>332</v>
      </c>
      <c r="B44" s="10"/>
      <c r="C44" s="10"/>
      <c r="D44" s="10"/>
      <c r="E44" s="10"/>
      <c r="F44" s="10"/>
      <c r="G44" s="10"/>
      <c r="H44" s="10"/>
      <c r="I44" s="10"/>
      <c r="J44" s="10"/>
    </row>
    <row r="45" customFormat="false" ht="15" hidden="false" customHeight="true" outlineLevel="0" collapsed="false">
      <c r="A45" s="7" t="s">
        <v>333</v>
      </c>
      <c r="B45" s="10"/>
      <c r="C45" s="10"/>
      <c r="D45" s="10"/>
      <c r="E45" s="10"/>
      <c r="F45" s="10"/>
      <c r="G45" s="10"/>
      <c r="H45" s="10"/>
      <c r="I45" s="10"/>
      <c r="J45" s="10"/>
    </row>
    <row r="46" customFormat="false" ht="15" hidden="false" customHeight="true" outlineLevel="0" collapsed="false">
      <c r="A46" s="7" t="s">
        <v>334</v>
      </c>
      <c r="B46" s="10"/>
      <c r="C46" s="10"/>
      <c r="D46" s="10"/>
      <c r="E46" s="10"/>
      <c r="F46" s="10"/>
      <c r="G46" s="10"/>
      <c r="H46" s="10"/>
      <c r="I46" s="10"/>
      <c r="J46" s="10"/>
    </row>
    <row r="47" customFormat="false" ht="15" hidden="false" customHeight="true" outlineLevel="0" collapsed="false">
      <c r="A47" s="7" t="s">
        <v>335</v>
      </c>
      <c r="B47" s="10"/>
      <c r="C47" s="10"/>
      <c r="D47" s="10"/>
      <c r="E47" s="10"/>
      <c r="F47" s="10"/>
      <c r="G47" s="10"/>
      <c r="H47" s="10"/>
      <c r="I47" s="10"/>
      <c r="J47" s="10"/>
    </row>
    <row r="48" customFormat="false" ht="15" hidden="false" customHeight="true" outlineLevel="0" collapsed="false">
      <c r="A48" s="7" t="s">
        <v>336</v>
      </c>
      <c r="B48" s="10"/>
      <c r="C48" s="10"/>
      <c r="D48" s="10"/>
      <c r="E48" s="10"/>
      <c r="F48" s="10"/>
      <c r="G48" s="10"/>
      <c r="H48" s="10"/>
      <c r="I48" s="10"/>
      <c r="J48" s="10"/>
    </row>
    <row r="49" customFormat="false" ht="15" hidden="false" customHeight="true" outlineLevel="0" collapsed="false">
      <c r="A49" s="7" t="s">
        <v>337</v>
      </c>
      <c r="B49" s="10"/>
      <c r="C49" s="10"/>
      <c r="D49" s="10"/>
      <c r="E49" s="10"/>
      <c r="F49" s="10"/>
      <c r="G49" s="10"/>
      <c r="H49" s="10"/>
      <c r="I49" s="10"/>
      <c r="J49" s="10"/>
    </row>
    <row r="50" customFormat="false" ht="15" hidden="false" customHeight="true" outlineLevel="0" collapsed="false">
      <c r="A50" s="7" t="s">
        <v>338</v>
      </c>
      <c r="B50" s="10"/>
      <c r="C50" s="10"/>
      <c r="D50" s="10"/>
      <c r="E50" s="10"/>
      <c r="F50" s="10"/>
      <c r="G50" s="10"/>
      <c r="H50" s="10"/>
      <c r="I50" s="10"/>
      <c r="J50" s="10"/>
    </row>
    <row r="51" customFormat="false" ht="15" hidden="false" customHeight="true" outlineLevel="0" collapsed="false">
      <c r="A51" s="7" t="s">
        <v>339</v>
      </c>
      <c r="B51" s="10"/>
      <c r="C51" s="10"/>
      <c r="D51" s="10"/>
      <c r="E51" s="10"/>
      <c r="F51" s="10"/>
      <c r="G51" s="10"/>
      <c r="H51" s="10"/>
      <c r="I51" s="10"/>
      <c r="J51" s="10"/>
    </row>
    <row r="52" customFormat="false" ht="15" hidden="false" customHeight="true" outlineLevel="0" collapsed="false">
      <c r="A52" s="7" t="s">
        <v>340</v>
      </c>
      <c r="B52" s="10"/>
      <c r="C52" s="10"/>
      <c r="D52" s="10"/>
      <c r="E52" s="10"/>
      <c r="F52" s="10"/>
      <c r="G52" s="10"/>
      <c r="H52" s="10"/>
      <c r="I52" s="10"/>
      <c r="J52" s="10"/>
    </row>
    <row r="53" customFormat="false" ht="15" hidden="false" customHeight="true" outlineLevel="0" collapsed="false">
      <c r="A53" s="7" t="s">
        <v>341</v>
      </c>
      <c r="B53" s="10"/>
      <c r="C53" s="10"/>
      <c r="D53" s="10"/>
      <c r="E53" s="10"/>
      <c r="F53" s="10"/>
      <c r="G53" s="10"/>
      <c r="H53" s="10"/>
      <c r="I53" s="10"/>
      <c r="J53" s="10"/>
    </row>
    <row r="54" customFormat="false" ht="15" hidden="false" customHeight="true" outlineLevel="0" collapsed="false">
      <c r="A54" s="7" t="s">
        <v>342</v>
      </c>
      <c r="B54" s="10"/>
      <c r="C54" s="10"/>
      <c r="D54" s="10"/>
      <c r="E54" s="10"/>
      <c r="F54" s="10"/>
      <c r="G54" s="10"/>
      <c r="H54" s="10"/>
      <c r="I54" s="10"/>
      <c r="J54" s="10"/>
    </row>
    <row r="55" customFormat="false" ht="15" hidden="false" customHeight="true" outlineLevel="0" collapsed="false">
      <c r="A55" s="7" t="s">
        <v>343</v>
      </c>
      <c r="B55" s="10"/>
      <c r="C55" s="10"/>
      <c r="D55" s="10"/>
      <c r="E55" s="10"/>
      <c r="F55" s="10"/>
      <c r="G55" s="10"/>
      <c r="H55" s="10"/>
      <c r="I55" s="10"/>
      <c r="J55" s="10"/>
    </row>
    <row r="56" customFormat="false" ht="15" hidden="false" customHeight="true" outlineLevel="0" collapsed="false">
      <c r="A56" s="7" t="s">
        <v>344</v>
      </c>
      <c r="B56" s="10"/>
      <c r="C56" s="10"/>
      <c r="D56" s="10"/>
      <c r="E56" s="10"/>
      <c r="F56" s="10"/>
      <c r="G56" s="10"/>
      <c r="H56" s="10"/>
      <c r="I56" s="10"/>
      <c r="J56" s="10"/>
    </row>
    <row r="57" customFormat="false" ht="15" hidden="false" customHeight="true" outlineLevel="0" collapsed="false">
      <c r="A57" s="7" t="s">
        <v>345</v>
      </c>
      <c r="B57" s="10"/>
      <c r="C57" s="10"/>
      <c r="D57" s="10"/>
      <c r="E57" s="10"/>
      <c r="F57" s="10"/>
      <c r="G57" s="10"/>
      <c r="H57" s="10"/>
      <c r="I57" s="10"/>
      <c r="J57" s="10"/>
    </row>
    <row r="58" customFormat="false" ht="15" hidden="false" customHeight="true" outlineLevel="0" collapsed="false">
      <c r="A58" s="7" t="s">
        <v>346</v>
      </c>
      <c r="B58" s="10"/>
      <c r="C58" s="10"/>
      <c r="D58" s="10"/>
      <c r="E58" s="10"/>
      <c r="F58" s="10"/>
      <c r="G58" s="10"/>
      <c r="H58" s="10"/>
      <c r="I58" s="10"/>
      <c r="J58" s="10"/>
    </row>
    <row r="59" customFormat="false" ht="15" hidden="false" customHeight="true" outlineLevel="0" collapsed="false">
      <c r="A59" s="7" t="s">
        <v>347</v>
      </c>
      <c r="B59" s="10"/>
      <c r="C59" s="10"/>
      <c r="D59" s="10"/>
      <c r="E59" s="10"/>
      <c r="F59" s="10"/>
      <c r="G59" s="10"/>
      <c r="H59" s="10"/>
      <c r="I59" s="10"/>
      <c r="J59" s="10"/>
    </row>
    <row r="60" customFormat="false" ht="15" hidden="false" customHeight="true" outlineLevel="0" collapsed="false">
      <c r="A60" s="7" t="s">
        <v>348</v>
      </c>
      <c r="B60" s="10"/>
      <c r="C60" s="10"/>
      <c r="D60" s="10"/>
      <c r="E60" s="10"/>
      <c r="F60" s="10"/>
      <c r="G60" s="10"/>
      <c r="H60" s="10"/>
      <c r="I60" s="10"/>
      <c r="J60" s="10"/>
    </row>
    <row r="61" customFormat="false" ht="15" hidden="false" customHeight="true" outlineLevel="0" collapsed="false">
      <c r="A61" s="7" t="s">
        <v>349</v>
      </c>
      <c r="B61" s="10"/>
      <c r="C61" s="10"/>
      <c r="D61" s="10"/>
      <c r="E61" s="10"/>
      <c r="F61" s="10"/>
      <c r="G61" s="10"/>
      <c r="H61" s="10"/>
      <c r="I61" s="10"/>
      <c r="J61" s="10"/>
    </row>
  </sheetData>
  <dataValidations count="4">
    <dataValidation allowBlank="true" error="Elige un valor de la lista" errorStyle="stop" errorTitle="Valor no válido" operator="between" showDropDown="false" showErrorMessage="true" showInputMessage="false" sqref="B2:B61" type="list">
      <formula1>"ERS,DAS,Brief"</formula1>
      <formula2>0</formula2>
    </dataValidation>
    <dataValidation allowBlank="true" error="Elige un valor de la lista" errorStyle="stop" errorTitle="Valor no válido" operator="between" showDropDown="false" showErrorMessage="true" showInputMessage="false" sqref="C2:C61" type="list">
      <formula1>"1,2,3,4,5,B"</formula1>
      <formula2>0</formula2>
    </dataValidation>
    <dataValidation allowBlank="true" error="Elige un valor de la lista" errorStyle="stop" errorTitle="Valor no válido" operator="between" showDropDown="false" showErrorMessage="true" showInputMessage="false" sqref="E2:E61" type="list">
      <formula1>"Completitud,Coherente,Correcto,Pertinencia"</formula1>
      <formula2>0</formula2>
    </dataValidation>
    <dataValidation allowBlank="true" error="Elige un valor de la lista" errorStyle="stop" errorTitle="Valor no válido" operator="between" showDropDown="false" showErrorMessage="true" showInputMessage="false" sqref="F2:F61" type="list">
      <formula1>"Mayor,Menor,Bloqueante"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6"/>
  </cols>
  <sheetData>
    <row r="1" customFormat="false" ht="15.75" hidden="false" customHeight="true" outlineLevel="0" collapsed="false">
      <c r="A1" s="11" t="s">
        <v>350</v>
      </c>
    </row>
    <row r="3" customFormat="false" ht="26.25" hidden="false" customHeight="true" outlineLevel="0" collapsed="false">
      <c r="A3" s="12" t="s">
        <v>351</v>
      </c>
      <c r="B3" s="12" t="s">
        <v>352</v>
      </c>
      <c r="C3" s="12" t="s">
        <v>353</v>
      </c>
      <c r="D3" s="12" t="s">
        <v>354</v>
      </c>
      <c r="E3" s="12" t="s">
        <v>355</v>
      </c>
      <c r="F3" s="12" t="s">
        <v>356</v>
      </c>
      <c r="G3" s="12" t="s">
        <v>357</v>
      </c>
      <c r="H3" s="12" t="s">
        <v>358</v>
      </c>
    </row>
    <row r="4" customFormat="false" ht="15" hidden="false" customHeight="true" outlineLevel="0" collapsed="false">
      <c r="A4" s="9" t="s">
        <v>24</v>
      </c>
      <c r="B4" s="9" t="n">
        <f aca="false">COUNTIFS(Verificación!$B$2:$B$84,"Sí",Verificación!$C$2:$C$84,$A4)</f>
        <v>49</v>
      </c>
      <c r="C4" s="9" t="n">
        <f aca="false">COUNTIFS(Verificación!$B$2:$B$84,"Sí",Verificación!$C$2:$C$84,$A4,Verificación!$J$2:$J$84,"confirmado")</f>
        <v>40</v>
      </c>
      <c r="D4" s="9" t="n">
        <f aca="false">COUNTIFS(Verificación!$B$2:$B$84,"Sí",Verificación!$C$2:$C$84,$A4,Verificación!$J$2:$J$84,"falso_positivo")</f>
        <v>5</v>
      </c>
      <c r="E4" s="9" t="n">
        <f aca="false">B4-C4-D4</f>
        <v>4</v>
      </c>
      <c r="F4" s="9" t="n">
        <f aca="false">COUNTIF('Defectos nuevos'!$B$2:$B$61,$A4)</f>
        <v>4</v>
      </c>
      <c r="G4" s="13" t="n">
        <f aca="false">IF(C4+D4=0,"-",C4/(C4+D4))</f>
        <v>0.888888888888889</v>
      </c>
      <c r="H4" s="13" t="n">
        <f aca="false">IF(C4+F4=0,"-",C4/(C4+F4))</f>
        <v>0.909090909090909</v>
      </c>
    </row>
    <row r="5" customFormat="false" ht="15" hidden="false" customHeight="true" outlineLevel="0" collapsed="false">
      <c r="A5" s="9" t="s">
        <v>212</v>
      </c>
      <c r="B5" s="9" t="n">
        <f aca="false">COUNTIFS(Verificación!$B$2:$B$84,"Sí",Verificación!$C$2:$C$84,$A5)</f>
        <v>14</v>
      </c>
      <c r="C5" s="9" t="n">
        <f aca="false">COUNTIFS(Verificación!$B$2:$B$84,"Sí",Verificación!$C$2:$C$84,$A5,Verificación!$J$2:$J$84,"confirmado")</f>
        <v>12</v>
      </c>
      <c r="D5" s="9" t="n">
        <f aca="false">COUNTIFS(Verificación!$B$2:$B$84,"Sí",Verificación!$C$2:$C$84,$A5,Verificación!$J$2:$J$84,"falso_positivo")</f>
        <v>2</v>
      </c>
      <c r="E5" s="9" t="n">
        <f aca="false">B5-C5-D5</f>
        <v>0</v>
      </c>
      <c r="F5" s="9" t="n">
        <f aca="false">COUNTIF('Defectos nuevos'!$B$2:$B$61,$A5)</f>
        <v>2</v>
      </c>
      <c r="G5" s="13" t="n">
        <f aca="false">IF(C5+D5=0,"-",C5/(C5+D5))</f>
        <v>0.857142857142857</v>
      </c>
      <c r="H5" s="13" t="n">
        <f aca="false">IF(C5+F5=0,"-",C5/(C5+F5))</f>
        <v>0.857142857142857</v>
      </c>
    </row>
    <row r="6" customFormat="false" ht="15" hidden="false" customHeight="true" outlineLevel="0" collapsed="false">
      <c r="A6" s="9" t="s">
        <v>267</v>
      </c>
      <c r="B6" s="9" t="n">
        <f aca="false">COUNTIFS(Verificación!$B$2:$B$84,"Sí",Verificación!$C$2:$C$84,$A6)</f>
        <v>5</v>
      </c>
      <c r="C6" s="9" t="n">
        <f aca="false">COUNTIFS(Verificación!$B$2:$B$84,"Sí",Verificación!$C$2:$C$84,$A6,Verificación!$J$2:$J$84,"confirmado")</f>
        <v>4</v>
      </c>
      <c r="D6" s="9" t="n">
        <f aca="false">COUNTIFS(Verificación!$B$2:$B$84,"Sí",Verificación!$C$2:$C$84,$A6,Verificación!$J$2:$J$84,"falso_positivo")</f>
        <v>1</v>
      </c>
      <c r="E6" s="9" t="n">
        <f aca="false">B6-C6-D6</f>
        <v>0</v>
      </c>
      <c r="F6" s="9" t="n">
        <f aca="false">COUNTIF('Defectos nuevos'!$B$2:$B$61,$A6)</f>
        <v>1</v>
      </c>
      <c r="G6" s="13" t="n">
        <f aca="false">IF(C6+D6=0,"-",C6/(C6+D6))</f>
        <v>0.8</v>
      </c>
      <c r="H6" s="13" t="n">
        <f aca="false">IF(C6+F6=0,"-",C6/(C6+F6))</f>
        <v>0.8</v>
      </c>
    </row>
    <row r="7" customFormat="false" ht="15" hidden="false" customHeight="true" outlineLevel="0" collapsed="false">
      <c r="A7" s="14" t="s">
        <v>359</v>
      </c>
      <c r="B7" s="14" t="n">
        <f aca="false">SUM(B4:B6)</f>
        <v>68</v>
      </c>
      <c r="C7" s="14" t="n">
        <f aca="false">SUM(C4:C6)</f>
        <v>56</v>
      </c>
      <c r="D7" s="14" t="n">
        <f aca="false">SUM(D4:D6)</f>
        <v>8</v>
      </c>
      <c r="E7" s="14" t="n">
        <f aca="false">SUM(E4:E6)</f>
        <v>4</v>
      </c>
      <c r="F7" s="14" t="n">
        <f aca="false">SUM(F4:F6)</f>
        <v>7</v>
      </c>
      <c r="G7" s="15" t="n">
        <f aca="false">IF(C7+D7=0,"-",C7/(C7+D7))</f>
        <v>0.875</v>
      </c>
      <c r="H7" s="15" t="n">
        <f aca="false">IF(C7+F7=0,"-",C7/(C7+F7))</f>
        <v>0.888888888888889</v>
      </c>
    </row>
    <row r="9" customFormat="false" ht="15" hidden="false" customHeight="true" outlineLevel="0" collapsed="false">
      <c r="A9" s="4" t="s">
        <v>360</v>
      </c>
    </row>
    <row r="10" customFormat="false" ht="15" hidden="false" customHeight="true" outlineLevel="0" collapsed="false">
      <c r="A10" s="4" t="s">
        <v>361</v>
      </c>
    </row>
    <row r="11" customFormat="false" ht="15" hidden="false" customHeight="true" outlineLevel="0" collapsed="false">
      <c r="A11" s="5" t="str">
        <f aca="false">IF(E7&gt;0,"Verificación en curso: "&amp;E7&amp;" de "&amp;B7&amp;" hallazgos sin revisar; cifras parciales.","Verificación completa.")</f>
        <v>Verificación en curso: 4 de 68 hallazgos sin revisar; cifras parciales.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2026-10-28T14:57:11Z</dcterms:created>
  <dc:creator>openpyxl</dc:creator>
  <dc:description/>
  <dc:language>en-US</dc:language>
  <cp:lastModifiedBy/>
  <dcterms:modified xsi:type="dcterms:W3CDTF">2026-10-28T15:33:48Z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